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yectosab-my.sharepoint.com/personal/froa_abprocol_com/Documents/Documentos/Abogado/web-Abogado-laboral/js/"/>
    </mc:Choice>
  </mc:AlternateContent>
  <xr:revisionPtr revIDLastSave="4" documentId="14_{45D4BE09-C6EC-419F-BC3A-504928C2863C}" xr6:coauthVersionLast="47" xr6:coauthVersionMax="47" xr10:uidLastSave="{3A12754F-E1D8-490B-9D2B-27435D565F00}"/>
  <bookViews>
    <workbookView xWindow="-110" yWindow="-110" windowWidth="19420" windowHeight="10300" tabRatio="734" activeTab="3" xr2:uid="{00000000-000D-0000-FFFF-FFFF00000000}"/>
  </bookViews>
  <sheets>
    <sheet name="ipc" sheetId="2" r:id="rId1"/>
    <sheet name="tc" sheetId="7" r:id="rId2"/>
    <sheet name="smlv" sheetId="11" r:id="rId3"/>
    <sheet name="Indemnizacion_sustitutiva" sheetId="27" r:id="rId4"/>
  </sheets>
  <definedNames>
    <definedName name="_xlnm._FilterDatabase" localSheetId="3" hidden="1">Indemnizacion_sustitutiva!$A$10:$O$76</definedName>
    <definedName name="_xlnm._FilterDatabase" localSheetId="0" hidden="1">ipc!$A$2:$G$769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7" l="1" a="1"/>
  <c r="J12" i="27" s="1"/>
  <c r="J13" i="27" a="1"/>
  <c r="J13" i="27" s="1"/>
  <c r="J14" i="27" a="1"/>
  <c r="J14" i="27" s="1"/>
  <c r="J15" i="27" a="1"/>
  <c r="J15" i="27" s="1"/>
  <c r="J16" i="27" a="1"/>
  <c r="J16" i="27" s="1"/>
  <c r="J17" i="27" a="1"/>
  <c r="J17" i="27" s="1"/>
  <c r="J18" i="27" a="1"/>
  <c r="J18" i="27" s="1"/>
  <c r="J19" i="27" a="1"/>
  <c r="J19" i="27" s="1"/>
  <c r="J20" i="27" a="1"/>
  <c r="J20" i="27" s="1"/>
  <c r="J21" i="27" a="1"/>
  <c r="J21" i="27" s="1"/>
  <c r="J22" i="27" a="1"/>
  <c r="J22" i="27" s="1"/>
  <c r="J23" i="27" a="1"/>
  <c r="J23" i="27" s="1"/>
  <c r="J24" i="27" a="1"/>
  <c r="J24" i="27" s="1"/>
  <c r="J25" i="27" a="1"/>
  <c r="J25" i="27" s="1"/>
  <c r="J26" i="27" a="1"/>
  <c r="J26" i="27" s="1"/>
  <c r="J27" i="27" a="1"/>
  <c r="J27" i="27" s="1"/>
  <c r="J28" i="27" a="1"/>
  <c r="J28" i="27" s="1"/>
  <c r="J29" i="27" a="1"/>
  <c r="J29" i="27" s="1"/>
  <c r="J30" i="27" a="1"/>
  <c r="J30" i="27" s="1"/>
  <c r="J31" i="27" a="1"/>
  <c r="J31" i="27" s="1"/>
  <c r="J32" i="27" a="1"/>
  <c r="J32" i="27" s="1"/>
  <c r="J33" i="27" a="1"/>
  <c r="J33" i="27" s="1"/>
  <c r="J34" i="27" a="1"/>
  <c r="J34" i="27" s="1"/>
  <c r="J35" i="27" a="1"/>
  <c r="J35" i="27" s="1"/>
  <c r="J36" i="27" a="1"/>
  <c r="J36" i="27" s="1"/>
  <c r="J37" i="27" a="1"/>
  <c r="J37" i="27" s="1"/>
  <c r="J38" i="27" a="1"/>
  <c r="J38" i="27" s="1"/>
  <c r="J39" i="27" a="1"/>
  <c r="J39" i="27" s="1"/>
  <c r="J40" i="27" a="1"/>
  <c r="J40" i="27" s="1"/>
  <c r="J41" i="27" a="1"/>
  <c r="J41" i="27" s="1"/>
  <c r="J42" i="27" a="1"/>
  <c r="J42" i="27" s="1"/>
  <c r="J43" i="27" a="1"/>
  <c r="J43" i="27" s="1"/>
  <c r="J44" i="27" a="1"/>
  <c r="J44" i="27" s="1"/>
  <c r="J45" i="27" a="1"/>
  <c r="J45" i="27" s="1"/>
  <c r="J46" i="27" a="1"/>
  <c r="J46" i="27" s="1"/>
  <c r="J47" i="27" a="1"/>
  <c r="J47" i="27" s="1"/>
  <c r="J48" i="27" a="1"/>
  <c r="J48" i="27" s="1"/>
  <c r="J49" i="27" a="1"/>
  <c r="J49" i="27" s="1"/>
  <c r="J50" i="27" a="1"/>
  <c r="J50" i="27" s="1"/>
  <c r="J51" i="27" a="1"/>
  <c r="J51" i="27" s="1"/>
  <c r="J52" i="27" a="1"/>
  <c r="J52" i="27" s="1"/>
  <c r="J53" i="27" a="1"/>
  <c r="J53" i="27" s="1"/>
  <c r="J54" i="27" a="1"/>
  <c r="J54" i="27" s="1"/>
  <c r="J55" i="27" a="1"/>
  <c r="J55" i="27" s="1"/>
  <c r="J56" i="27" a="1"/>
  <c r="J56" i="27" s="1"/>
  <c r="J57" i="27" a="1"/>
  <c r="J57" i="27" s="1"/>
  <c r="J58" i="27" a="1"/>
  <c r="J58" i="27" s="1"/>
  <c r="J59" i="27" a="1"/>
  <c r="J59" i="27" s="1"/>
  <c r="J60" i="27" a="1"/>
  <c r="J60" i="27" s="1"/>
  <c r="J61" i="27" a="1"/>
  <c r="J61" i="27" s="1"/>
  <c r="J62" i="27" a="1"/>
  <c r="J62" i="27" s="1"/>
  <c r="J63" i="27" a="1"/>
  <c r="J63" i="27" s="1"/>
  <c r="J64" i="27" a="1"/>
  <c r="J64" i="27" s="1"/>
  <c r="J65" i="27" a="1"/>
  <c r="J65" i="27" s="1"/>
  <c r="J66" i="27" a="1"/>
  <c r="J66" i="27" s="1"/>
  <c r="J67" i="27" a="1"/>
  <c r="J67" i="27" s="1"/>
  <c r="J68" i="27" a="1"/>
  <c r="J68" i="27" s="1"/>
  <c r="J69" i="27" a="1"/>
  <c r="J69" i="27" s="1"/>
  <c r="J70" i="27" a="1"/>
  <c r="J70" i="27" s="1"/>
  <c r="J71" i="27" a="1"/>
  <c r="J71" i="27" s="1"/>
  <c r="J72" i="27" a="1"/>
  <c r="J72" i="27" s="1"/>
  <c r="J73" i="27" a="1"/>
  <c r="J73" i="27" s="1"/>
  <c r="J74" i="27" a="1"/>
  <c r="J74" i="27" s="1"/>
  <c r="J75" i="27" a="1"/>
  <c r="J75" i="27" s="1"/>
  <c r="J76" i="27" a="1"/>
  <c r="J76" i="27" s="1"/>
  <c r="J11" i="27" a="1"/>
  <c r="J11" i="27" s="1"/>
  <c r="K11" i="27"/>
  <c r="L11" i="27" s="1"/>
  <c r="K13" i="27"/>
  <c r="L13" i="27" s="1"/>
  <c r="K14" i="27"/>
  <c r="L14" i="27" s="1"/>
  <c r="K15" i="27"/>
  <c r="L15" i="27" s="1"/>
  <c r="K16" i="27"/>
  <c r="L16" i="27" s="1"/>
  <c r="K17" i="27"/>
  <c r="L17" i="27" s="1"/>
  <c r="K18" i="27"/>
  <c r="L18" i="27" s="1"/>
  <c r="K19" i="27"/>
  <c r="L19" i="27" s="1"/>
  <c r="K20" i="27"/>
  <c r="L20" i="27" s="1"/>
  <c r="K21" i="27"/>
  <c r="L21" i="27" s="1"/>
  <c r="K22" i="27"/>
  <c r="L22" i="27" s="1"/>
  <c r="K23" i="27"/>
  <c r="L23" i="27" s="1"/>
  <c r="K24" i="27"/>
  <c r="L24" i="27" s="1"/>
  <c r="K25" i="27"/>
  <c r="L25" i="27" s="1"/>
  <c r="K26" i="27"/>
  <c r="L26" i="27" s="1"/>
  <c r="K27" i="27"/>
  <c r="L27" i="27" s="1"/>
  <c r="K28" i="27"/>
  <c r="L28" i="27" s="1"/>
  <c r="K29" i="27"/>
  <c r="L29" i="27" s="1"/>
  <c r="K30" i="27"/>
  <c r="L30" i="27" s="1"/>
  <c r="K31" i="27"/>
  <c r="L31" i="27" s="1"/>
  <c r="K32" i="27"/>
  <c r="L32" i="27" s="1"/>
  <c r="K33" i="27"/>
  <c r="L33" i="27" s="1"/>
  <c r="K34" i="27"/>
  <c r="L34" i="27" s="1"/>
  <c r="K35" i="27"/>
  <c r="L35" i="27" s="1"/>
  <c r="K36" i="27"/>
  <c r="L36" i="27" s="1"/>
  <c r="K37" i="27"/>
  <c r="L37" i="27" s="1"/>
  <c r="K38" i="27"/>
  <c r="L38" i="27" s="1"/>
  <c r="K39" i="27"/>
  <c r="L39" i="27" s="1"/>
  <c r="K40" i="27"/>
  <c r="L40" i="27" s="1"/>
  <c r="K41" i="27"/>
  <c r="L41" i="27" s="1"/>
  <c r="K42" i="27"/>
  <c r="L42" i="27" s="1"/>
  <c r="K43" i="27"/>
  <c r="L43" i="27" s="1"/>
  <c r="K44" i="27"/>
  <c r="L44" i="27" s="1"/>
  <c r="K45" i="27"/>
  <c r="L45" i="27" s="1"/>
  <c r="K46" i="27"/>
  <c r="L46" i="27" s="1"/>
  <c r="K47" i="27"/>
  <c r="L47" i="27" s="1"/>
  <c r="K48" i="27"/>
  <c r="L48" i="27" s="1"/>
  <c r="K49" i="27"/>
  <c r="L49" i="27" s="1"/>
  <c r="K50" i="27"/>
  <c r="L50" i="27" s="1"/>
  <c r="K51" i="27"/>
  <c r="L51" i="27" s="1"/>
  <c r="K52" i="27"/>
  <c r="L52" i="27" s="1"/>
  <c r="K53" i="27"/>
  <c r="L53" i="27" s="1"/>
  <c r="K54" i="27"/>
  <c r="L54" i="27" s="1"/>
  <c r="K55" i="27"/>
  <c r="L55" i="27" s="1"/>
  <c r="K56" i="27"/>
  <c r="L56" i="27" s="1"/>
  <c r="K57" i="27"/>
  <c r="L57" i="27" s="1"/>
  <c r="K58" i="27"/>
  <c r="L58" i="27" s="1"/>
  <c r="K59" i="27"/>
  <c r="L59" i="27" s="1"/>
  <c r="K60" i="27"/>
  <c r="L60" i="27" s="1"/>
  <c r="K61" i="27"/>
  <c r="L61" i="27" s="1"/>
  <c r="K62" i="27"/>
  <c r="L62" i="27" s="1"/>
  <c r="K63" i="27"/>
  <c r="L63" i="27" s="1"/>
  <c r="K64" i="27"/>
  <c r="L64" i="27" s="1"/>
  <c r="K65" i="27"/>
  <c r="L65" i="27" s="1"/>
  <c r="K66" i="27"/>
  <c r="L66" i="27" s="1"/>
  <c r="K67" i="27"/>
  <c r="L67" i="27" s="1"/>
  <c r="K68" i="27"/>
  <c r="L68" i="27" s="1"/>
  <c r="K69" i="27"/>
  <c r="L69" i="27" s="1"/>
  <c r="K70" i="27"/>
  <c r="L70" i="27" s="1"/>
  <c r="K71" i="27"/>
  <c r="L71" i="27" s="1"/>
  <c r="K72" i="27"/>
  <c r="L72" i="27" s="1"/>
  <c r="K73" i="27"/>
  <c r="L73" i="27" s="1"/>
  <c r="K74" i="27"/>
  <c r="L74" i="27" s="1"/>
  <c r="K75" i="27"/>
  <c r="L75" i="27" s="1"/>
  <c r="K76" i="27"/>
  <c r="L76" i="27" s="1"/>
  <c r="K12" i="27"/>
  <c r="L12" i="27" s="1"/>
  <c r="I11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71" i="27"/>
  <c r="I72" i="27"/>
  <c r="I73" i="27"/>
  <c r="I74" i="27"/>
  <c r="I75" i="27"/>
  <c r="I76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C20" i="27"/>
  <c r="C22" i="27"/>
  <c r="C23" i="27"/>
  <c r="C24" i="27"/>
  <c r="C36" i="27"/>
  <c r="C43" i="27"/>
  <c r="C48" i="27"/>
  <c r="C60" i="27"/>
  <c r="C66" i="27"/>
  <c r="C72" i="27"/>
  <c r="D72" i="27"/>
  <c r="D48" i="27"/>
  <c r="D60" i="27"/>
  <c r="D66" i="27"/>
  <c r="D43" i="27"/>
  <c r="D36" i="27"/>
  <c r="D22" i="27"/>
  <c r="D18" i="27"/>
  <c r="D20" i="27"/>
  <c r="D23" i="27"/>
  <c r="D24" i="27"/>
  <c r="D78" i="11"/>
  <c r="D72" i="11"/>
  <c r="D73" i="11"/>
  <c r="D74" i="11"/>
  <c r="D75" i="11"/>
  <c r="D76" i="11"/>
  <c r="D77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A21" i="2"/>
  <c r="A33" i="2" s="1"/>
  <c r="A45" i="2" s="1"/>
  <c r="A57" i="2" s="1"/>
  <c r="A69" i="2" s="1"/>
  <c r="A81" i="2" s="1"/>
  <c r="A93" i="2" s="1"/>
  <c r="A105" i="2" s="1"/>
  <c r="A117" i="2" s="1"/>
  <c r="A129" i="2" s="1"/>
  <c r="A141" i="2" s="1"/>
  <c r="A153" i="2" s="1"/>
  <c r="A165" i="2" s="1"/>
  <c r="A177" i="2" s="1"/>
  <c r="A189" i="2" s="1"/>
  <c r="A201" i="2" s="1"/>
  <c r="A213" i="2" s="1"/>
  <c r="A225" i="2" s="1"/>
  <c r="A237" i="2" s="1"/>
  <c r="A249" i="2" s="1"/>
  <c r="A261" i="2" s="1"/>
  <c r="A273" i="2" s="1"/>
  <c r="A20" i="2"/>
  <c r="A32" i="2" s="1"/>
  <c r="A44" i="2" s="1"/>
  <c r="A56" i="2" s="1"/>
  <c r="A68" i="2" s="1"/>
  <c r="A80" i="2" s="1"/>
  <c r="A92" i="2" s="1"/>
  <c r="A104" i="2" s="1"/>
  <c r="A116" i="2" s="1"/>
  <c r="A128" i="2" s="1"/>
  <c r="A140" i="2" s="1"/>
  <c r="A152" i="2" s="1"/>
  <c r="A164" i="2" s="1"/>
  <c r="A176" i="2" s="1"/>
  <c r="A188" i="2" s="1"/>
  <c r="A200" i="2" s="1"/>
  <c r="A212" i="2" s="1"/>
  <c r="A224" i="2" s="1"/>
  <c r="A236" i="2" s="1"/>
  <c r="A248" i="2" s="1"/>
  <c r="A260" i="2" s="1"/>
  <c r="A272" i="2" s="1"/>
  <c r="A19" i="2"/>
  <c r="A31" i="2" s="1"/>
  <c r="A43" i="2" s="1"/>
  <c r="A55" i="2" s="1"/>
  <c r="A67" i="2" s="1"/>
  <c r="A79" i="2" s="1"/>
  <c r="A91" i="2" s="1"/>
  <c r="A103" i="2" s="1"/>
  <c r="A115" i="2" s="1"/>
  <c r="A127" i="2" s="1"/>
  <c r="A139" i="2" s="1"/>
  <c r="A151" i="2" s="1"/>
  <c r="A163" i="2" s="1"/>
  <c r="A175" i="2" s="1"/>
  <c r="A187" i="2" s="1"/>
  <c r="A199" i="2" s="1"/>
  <c r="A211" i="2" s="1"/>
  <c r="A223" i="2" s="1"/>
  <c r="A235" i="2" s="1"/>
  <c r="A247" i="2" s="1"/>
  <c r="A259" i="2" s="1"/>
  <c r="A271" i="2" s="1"/>
  <c r="A18" i="2"/>
  <c r="A30" i="2" s="1"/>
  <c r="A42" i="2" s="1"/>
  <c r="A54" i="2" s="1"/>
  <c r="A66" i="2" s="1"/>
  <c r="A78" i="2" s="1"/>
  <c r="A90" i="2" s="1"/>
  <c r="A102" i="2" s="1"/>
  <c r="A114" i="2" s="1"/>
  <c r="A126" i="2" s="1"/>
  <c r="A138" i="2" s="1"/>
  <c r="A150" i="2" s="1"/>
  <c r="A162" i="2" s="1"/>
  <c r="A174" i="2" s="1"/>
  <c r="A186" i="2" s="1"/>
  <c r="A198" i="2" s="1"/>
  <c r="A210" i="2" s="1"/>
  <c r="A222" i="2" s="1"/>
  <c r="A234" i="2" s="1"/>
  <c r="A246" i="2" s="1"/>
  <c r="A258" i="2" s="1"/>
  <c r="A270" i="2" s="1"/>
  <c r="A17" i="2"/>
  <c r="A29" i="2" s="1"/>
  <c r="A41" i="2" s="1"/>
  <c r="A53" i="2" s="1"/>
  <c r="A65" i="2" s="1"/>
  <c r="A77" i="2" s="1"/>
  <c r="A89" i="2" s="1"/>
  <c r="A101" i="2" s="1"/>
  <c r="A113" i="2" s="1"/>
  <c r="A125" i="2" s="1"/>
  <c r="A137" i="2" s="1"/>
  <c r="A149" i="2" s="1"/>
  <c r="A161" i="2" s="1"/>
  <c r="A173" i="2" s="1"/>
  <c r="A185" i="2" s="1"/>
  <c r="A197" i="2" s="1"/>
  <c r="A209" i="2" s="1"/>
  <c r="A221" i="2" s="1"/>
  <c r="A233" i="2" s="1"/>
  <c r="A245" i="2" s="1"/>
  <c r="A257" i="2" s="1"/>
  <c r="A269" i="2" s="1"/>
  <c r="A16" i="2"/>
  <c r="A28" i="2" s="1"/>
  <c r="A40" i="2" s="1"/>
  <c r="A52" i="2" s="1"/>
  <c r="A64" i="2" s="1"/>
  <c r="A76" i="2" s="1"/>
  <c r="A88" i="2" s="1"/>
  <c r="A100" i="2" s="1"/>
  <c r="A112" i="2" s="1"/>
  <c r="A124" i="2" s="1"/>
  <c r="A136" i="2" s="1"/>
  <c r="A148" i="2" s="1"/>
  <c r="A160" i="2" s="1"/>
  <c r="A172" i="2" s="1"/>
  <c r="A184" i="2" s="1"/>
  <c r="A196" i="2" s="1"/>
  <c r="A208" i="2" s="1"/>
  <c r="A220" i="2" s="1"/>
  <c r="A232" i="2" s="1"/>
  <c r="A244" i="2" s="1"/>
  <c r="A256" i="2" s="1"/>
  <c r="A268" i="2" s="1"/>
  <c r="A15" i="2"/>
  <c r="A27" i="2" s="1"/>
  <c r="A39" i="2" s="1"/>
  <c r="A51" i="2" s="1"/>
  <c r="A63" i="2" s="1"/>
  <c r="A75" i="2" s="1"/>
  <c r="A87" i="2" s="1"/>
  <c r="A99" i="2" s="1"/>
  <c r="A111" i="2" s="1"/>
  <c r="A123" i="2" s="1"/>
  <c r="A135" i="2" s="1"/>
  <c r="A147" i="2" s="1"/>
  <c r="A159" i="2" s="1"/>
  <c r="A171" i="2" s="1"/>
  <c r="A183" i="2" s="1"/>
  <c r="A195" i="2" s="1"/>
  <c r="A207" i="2" s="1"/>
  <c r="A219" i="2" s="1"/>
  <c r="A231" i="2" s="1"/>
  <c r="A243" i="2" s="1"/>
  <c r="A255" i="2" s="1"/>
  <c r="A267" i="2" s="1"/>
  <c r="A14" i="2"/>
  <c r="A26" i="2" s="1"/>
  <c r="A38" i="2" s="1"/>
  <c r="A50" i="2" s="1"/>
  <c r="A62" i="2" s="1"/>
  <c r="A74" i="2" s="1"/>
  <c r="A86" i="2" s="1"/>
  <c r="A98" i="2" s="1"/>
  <c r="A110" i="2" s="1"/>
  <c r="A122" i="2" s="1"/>
  <c r="A134" i="2" s="1"/>
  <c r="A146" i="2" s="1"/>
  <c r="A158" i="2" s="1"/>
  <c r="A170" i="2" s="1"/>
  <c r="A182" i="2" s="1"/>
  <c r="A194" i="2" s="1"/>
  <c r="A206" i="2" s="1"/>
  <c r="A218" i="2" s="1"/>
  <c r="A230" i="2" s="1"/>
  <c r="A242" i="2" s="1"/>
  <c r="A254" i="2" s="1"/>
  <c r="A266" i="2" s="1"/>
  <c r="A13" i="2"/>
  <c r="A25" i="2" s="1"/>
  <c r="A37" i="2" s="1"/>
  <c r="A49" i="2" s="1"/>
  <c r="A61" i="2" s="1"/>
  <c r="A73" i="2" s="1"/>
  <c r="A85" i="2" s="1"/>
  <c r="A97" i="2" s="1"/>
  <c r="A109" i="2" s="1"/>
  <c r="A121" i="2" s="1"/>
  <c r="A133" i="2" s="1"/>
  <c r="A145" i="2" s="1"/>
  <c r="A157" i="2" s="1"/>
  <c r="A169" i="2" s="1"/>
  <c r="A181" i="2" s="1"/>
  <c r="A193" i="2" s="1"/>
  <c r="A205" i="2" s="1"/>
  <c r="A217" i="2" s="1"/>
  <c r="A229" i="2" s="1"/>
  <c r="A241" i="2" s="1"/>
  <c r="A253" i="2" s="1"/>
  <c r="A265" i="2" s="1"/>
  <c r="A12" i="2"/>
  <c r="A24" i="2" s="1"/>
  <c r="A36" i="2" s="1"/>
  <c r="A48" i="2" s="1"/>
  <c r="A60" i="2" s="1"/>
  <c r="A72" i="2" s="1"/>
  <c r="A84" i="2" s="1"/>
  <c r="A96" i="2" s="1"/>
  <c r="A108" i="2" s="1"/>
  <c r="A120" i="2" s="1"/>
  <c r="A132" i="2" s="1"/>
  <c r="A144" i="2" s="1"/>
  <c r="A156" i="2" s="1"/>
  <c r="A168" i="2" s="1"/>
  <c r="A180" i="2" s="1"/>
  <c r="A192" i="2" s="1"/>
  <c r="A204" i="2" s="1"/>
  <c r="A216" i="2" s="1"/>
  <c r="A228" i="2" s="1"/>
  <c r="A240" i="2" s="1"/>
  <c r="A252" i="2" s="1"/>
  <c r="A264" i="2" s="1"/>
  <c r="A11" i="2"/>
  <c r="A23" i="2" s="1"/>
  <c r="A35" i="2" s="1"/>
  <c r="A47" i="2" s="1"/>
  <c r="A59" i="2" s="1"/>
  <c r="A71" i="2" s="1"/>
  <c r="A83" i="2" s="1"/>
  <c r="A95" i="2" s="1"/>
  <c r="A107" i="2" s="1"/>
  <c r="A119" i="2" s="1"/>
  <c r="A131" i="2" s="1"/>
  <c r="A143" i="2" s="1"/>
  <c r="A155" i="2" s="1"/>
  <c r="A167" i="2" s="1"/>
  <c r="A179" i="2" s="1"/>
  <c r="A191" i="2" s="1"/>
  <c r="A203" i="2" s="1"/>
  <c r="A215" i="2" s="1"/>
  <c r="A227" i="2" s="1"/>
  <c r="A239" i="2" s="1"/>
  <c r="A251" i="2" s="1"/>
  <c r="A263" i="2" s="1"/>
  <c r="A10" i="2"/>
  <c r="A22" i="2" s="1"/>
  <c r="A34" i="2" s="1"/>
  <c r="A46" i="2" s="1"/>
  <c r="A58" i="2" s="1"/>
  <c r="A70" i="2" s="1"/>
  <c r="A82" i="2" s="1"/>
  <c r="A94" i="2" s="1"/>
  <c r="A106" i="2" s="1"/>
  <c r="A118" i="2" s="1"/>
  <c r="A130" i="2" s="1"/>
  <c r="A142" i="2" s="1"/>
  <c r="A154" i="2" s="1"/>
  <c r="A166" i="2" s="1"/>
  <c r="A178" i="2" s="1"/>
  <c r="A190" i="2" s="1"/>
  <c r="A202" i="2" s="1"/>
  <c r="A214" i="2" s="1"/>
  <c r="A226" i="2" s="1"/>
  <c r="A238" i="2" s="1"/>
  <c r="A250" i="2" s="1"/>
  <c r="A262" i="2" s="1"/>
  <c r="A274" i="2" s="1"/>
  <c r="C9" i="2"/>
  <c r="A8" i="2"/>
  <c r="C8" i="2" s="1"/>
  <c r="A7" i="2"/>
  <c r="C7" i="2" s="1"/>
  <c r="A6" i="2"/>
  <c r="C6" i="2" s="1"/>
  <c r="A5" i="2"/>
  <c r="C5" i="2" s="1"/>
  <c r="A4" i="2"/>
  <c r="C4" i="2" s="1"/>
  <c r="C3" i="2"/>
  <c r="H4" i="27" l="1"/>
  <c r="H48" i="27"/>
  <c r="M20" i="27"/>
  <c r="N20" i="27" s="1"/>
  <c r="O20" i="27" s="1"/>
  <c r="M22" i="27"/>
  <c r="N22" i="27" s="1"/>
  <c r="O22" i="27" s="1"/>
  <c r="M36" i="27"/>
  <c r="N36" i="27" s="1"/>
  <c r="O36" i="27" s="1"/>
  <c r="C29" i="27"/>
  <c r="H22" i="27"/>
  <c r="M23" i="27"/>
  <c r="N23" i="27" s="1"/>
  <c r="O23" i="27" s="1"/>
  <c r="M24" i="27"/>
  <c r="N24" i="27" s="1"/>
  <c r="O24" i="27" s="1"/>
  <c r="M43" i="27"/>
  <c r="N43" i="27" s="1"/>
  <c r="O43" i="27" s="1"/>
  <c r="M48" i="27"/>
  <c r="N48" i="27" s="1"/>
  <c r="O48" i="27" s="1"/>
  <c r="M60" i="27"/>
  <c r="N60" i="27" s="1"/>
  <c r="M66" i="27"/>
  <c r="N66" i="27" s="1"/>
  <c r="O66" i="27" s="1"/>
  <c r="M72" i="27"/>
  <c r="N72" i="27" s="1"/>
  <c r="O72" i="27" s="1"/>
  <c r="H60" i="27"/>
  <c r="H66" i="27"/>
  <c r="H72" i="27"/>
  <c r="D67" i="27"/>
  <c r="C44" i="27"/>
  <c r="H43" i="27"/>
  <c r="C42" i="27"/>
  <c r="C41" i="27"/>
  <c r="C40" i="27"/>
  <c r="C39" i="27"/>
  <c r="C38" i="27"/>
  <c r="C37" i="27"/>
  <c r="H36" i="27"/>
  <c r="C35" i="27"/>
  <c r="C34" i="27"/>
  <c r="C33" i="27"/>
  <c r="C32" i="27"/>
  <c r="C31" i="27"/>
  <c r="C30" i="27"/>
  <c r="C28" i="27"/>
  <c r="C27" i="27"/>
  <c r="C26" i="27"/>
  <c r="C25" i="27"/>
  <c r="C21" i="27"/>
  <c r="C12" i="27"/>
  <c r="C13" i="27"/>
  <c r="C14" i="27"/>
  <c r="C15" i="27"/>
  <c r="C16" i="27"/>
  <c r="C17" i="27"/>
  <c r="C18" i="27"/>
  <c r="M18" i="27" s="1"/>
  <c r="N18" i="27" s="1"/>
  <c r="C19" i="27"/>
  <c r="C11" i="27"/>
  <c r="H20" i="27"/>
  <c r="C61" i="27"/>
  <c r="C65" i="27"/>
  <c r="C64" i="27"/>
  <c r="C63" i="27"/>
  <c r="C62" i="27"/>
  <c r="C76" i="27"/>
  <c r="C75" i="27"/>
  <c r="C74" i="27"/>
  <c r="C73" i="27"/>
  <c r="C71" i="27"/>
  <c r="C70" i="27"/>
  <c r="C69" i="27"/>
  <c r="C68" i="27"/>
  <c r="C67" i="27"/>
  <c r="C59" i="27"/>
  <c r="C58" i="27"/>
  <c r="C57" i="27"/>
  <c r="C56" i="27"/>
  <c r="C55" i="27"/>
  <c r="C54" i="27"/>
  <c r="C53" i="27"/>
  <c r="C52" i="27"/>
  <c r="C51" i="27"/>
  <c r="C50" i="27"/>
  <c r="C49" i="27"/>
  <c r="C47" i="27"/>
  <c r="C46" i="27"/>
  <c r="C45" i="27"/>
  <c r="D61" i="27"/>
  <c r="D65" i="27"/>
  <c r="D64" i="27"/>
  <c r="D63" i="27"/>
  <c r="D62" i="27"/>
  <c r="D76" i="27"/>
  <c r="D75" i="27"/>
  <c r="D74" i="27"/>
  <c r="D73" i="27"/>
  <c r="D71" i="27"/>
  <c r="D70" i="27"/>
  <c r="D69" i="27"/>
  <c r="D68" i="27"/>
  <c r="D59" i="27"/>
  <c r="D58" i="27"/>
  <c r="D57" i="27"/>
  <c r="D56" i="27"/>
  <c r="D55" i="27"/>
  <c r="D54" i="27"/>
  <c r="D53" i="27"/>
  <c r="D52" i="27"/>
  <c r="D51" i="27"/>
  <c r="D50" i="27"/>
  <c r="D49" i="27"/>
  <c r="D47" i="27"/>
  <c r="D46" i="27"/>
  <c r="D45" i="27"/>
  <c r="H11" i="27"/>
  <c r="D17" i="27"/>
  <c r="D44" i="27"/>
  <c r="D42" i="27"/>
  <c r="D41" i="27"/>
  <c r="D40" i="27"/>
  <c r="D39" i="27"/>
  <c r="D38" i="27"/>
  <c r="D37" i="27"/>
  <c r="D35" i="27"/>
  <c r="D34" i="27"/>
  <c r="D33" i="27"/>
  <c r="D32" i="27"/>
  <c r="D31" i="27"/>
  <c r="D30" i="27"/>
  <c r="D29" i="27"/>
  <c r="D28" i="27"/>
  <c r="D27" i="27"/>
  <c r="D26" i="27"/>
  <c r="D25" i="27"/>
  <c r="D13" i="27"/>
  <c r="D15" i="27"/>
  <c r="D19" i="27"/>
  <c r="D16" i="27"/>
  <c r="D12" i="27"/>
  <c r="D21" i="27"/>
  <c r="D14" i="27"/>
  <c r="D11" i="27"/>
  <c r="H23" i="27"/>
  <c r="H24" i="27"/>
  <c r="C18" i="2"/>
  <c r="C19" i="2"/>
  <c r="C21" i="2"/>
  <c r="C15" i="2"/>
  <c r="C17" i="2"/>
  <c r="C11" i="2"/>
  <c r="C12" i="2"/>
  <c r="C16" i="2"/>
  <c r="C20" i="2"/>
  <c r="C13" i="2"/>
  <c r="C10" i="2"/>
  <c r="C14" i="2"/>
  <c r="A286" i="2"/>
  <c r="C274" i="2"/>
  <c r="A275" i="2"/>
  <c r="C263" i="2"/>
  <c r="A276" i="2"/>
  <c r="C264" i="2"/>
  <c r="A277" i="2"/>
  <c r="C265" i="2"/>
  <c r="A278" i="2"/>
  <c r="C266" i="2"/>
  <c r="A279" i="2"/>
  <c r="C267" i="2"/>
  <c r="A280" i="2"/>
  <c r="C268" i="2"/>
  <c r="A281" i="2"/>
  <c r="C269" i="2"/>
  <c r="A282" i="2"/>
  <c r="C270" i="2"/>
  <c r="A283" i="2"/>
  <c r="C271" i="2"/>
  <c r="A284" i="2"/>
  <c r="C272" i="2"/>
  <c r="A285" i="2"/>
  <c r="C273" i="2"/>
  <c r="C22" i="2"/>
  <c r="C24" i="2"/>
  <c r="C26" i="2"/>
  <c r="C28" i="2"/>
  <c r="C30" i="2"/>
  <c r="C32" i="2"/>
  <c r="C34" i="2"/>
  <c r="C36" i="2"/>
  <c r="C38" i="2"/>
  <c r="C40" i="2"/>
  <c r="C42" i="2"/>
  <c r="C44" i="2"/>
  <c r="C46" i="2"/>
  <c r="C48" i="2"/>
  <c r="C50" i="2"/>
  <c r="C52" i="2"/>
  <c r="C54" i="2"/>
  <c r="C56" i="2"/>
  <c r="C58" i="2"/>
  <c r="C60" i="2"/>
  <c r="C62" i="2"/>
  <c r="C64" i="2"/>
  <c r="C66" i="2"/>
  <c r="C68" i="2"/>
  <c r="C70" i="2"/>
  <c r="C72" i="2"/>
  <c r="C74" i="2"/>
  <c r="C76" i="2"/>
  <c r="C78" i="2"/>
  <c r="C80" i="2"/>
  <c r="C82" i="2"/>
  <c r="C84" i="2"/>
  <c r="C86" i="2"/>
  <c r="C88" i="2"/>
  <c r="C90" i="2"/>
  <c r="C92" i="2"/>
  <c r="C94" i="2"/>
  <c r="C96" i="2"/>
  <c r="C98" i="2"/>
  <c r="C100" i="2"/>
  <c r="C102" i="2"/>
  <c r="C104" i="2"/>
  <c r="C106" i="2"/>
  <c r="C108" i="2"/>
  <c r="C110" i="2"/>
  <c r="C112" i="2"/>
  <c r="C114" i="2"/>
  <c r="C116" i="2"/>
  <c r="C118" i="2"/>
  <c r="C120" i="2"/>
  <c r="C122" i="2"/>
  <c r="C124" i="2"/>
  <c r="C126" i="2"/>
  <c r="C128" i="2"/>
  <c r="C130" i="2"/>
  <c r="C132" i="2"/>
  <c r="C134" i="2"/>
  <c r="C136" i="2"/>
  <c r="C138" i="2"/>
  <c r="C140" i="2"/>
  <c r="C142" i="2"/>
  <c r="C144" i="2"/>
  <c r="C146" i="2"/>
  <c r="C148" i="2"/>
  <c r="C150" i="2"/>
  <c r="C152" i="2"/>
  <c r="C154" i="2"/>
  <c r="C156" i="2"/>
  <c r="C158" i="2"/>
  <c r="C160" i="2"/>
  <c r="C162" i="2"/>
  <c r="C164" i="2"/>
  <c r="C166" i="2"/>
  <c r="C168" i="2"/>
  <c r="C170" i="2"/>
  <c r="C172" i="2"/>
  <c r="C174" i="2"/>
  <c r="C176" i="2"/>
  <c r="C178" i="2"/>
  <c r="C180" i="2"/>
  <c r="C182" i="2"/>
  <c r="C184" i="2"/>
  <c r="C186" i="2"/>
  <c r="C188" i="2"/>
  <c r="C190" i="2"/>
  <c r="C192" i="2"/>
  <c r="C194" i="2"/>
  <c r="C196" i="2"/>
  <c r="C198" i="2"/>
  <c r="C200" i="2"/>
  <c r="C202" i="2"/>
  <c r="C204" i="2"/>
  <c r="C206" i="2"/>
  <c r="C208" i="2"/>
  <c r="C210" i="2"/>
  <c r="C212" i="2"/>
  <c r="C214" i="2"/>
  <c r="C216" i="2"/>
  <c r="C218" i="2"/>
  <c r="C220" i="2"/>
  <c r="C222" i="2"/>
  <c r="C224" i="2"/>
  <c r="C226" i="2"/>
  <c r="C228" i="2"/>
  <c r="C230" i="2"/>
  <c r="C232" i="2"/>
  <c r="C234" i="2"/>
  <c r="C236" i="2"/>
  <c r="C238" i="2"/>
  <c r="C240" i="2"/>
  <c r="C242" i="2"/>
  <c r="C244" i="2"/>
  <c r="C246" i="2"/>
  <c r="C248" i="2"/>
  <c r="C250" i="2"/>
  <c r="C252" i="2"/>
  <c r="C254" i="2"/>
  <c r="C256" i="2"/>
  <c r="C258" i="2"/>
  <c r="C260" i="2"/>
  <c r="C262" i="2"/>
  <c r="C23" i="2"/>
  <c r="C25" i="2"/>
  <c r="C27" i="2"/>
  <c r="C29" i="2"/>
  <c r="C31" i="2"/>
  <c r="C33" i="2"/>
  <c r="C35" i="2"/>
  <c r="C37" i="2"/>
  <c r="C39" i="2"/>
  <c r="C41" i="2"/>
  <c r="C43" i="2"/>
  <c r="C45" i="2"/>
  <c r="C47" i="2"/>
  <c r="C49" i="2"/>
  <c r="C51" i="2"/>
  <c r="C53" i="2"/>
  <c r="C55" i="2"/>
  <c r="C57" i="2"/>
  <c r="C59" i="2"/>
  <c r="C61" i="2"/>
  <c r="C63" i="2"/>
  <c r="C65" i="2"/>
  <c r="C67" i="2"/>
  <c r="C69" i="2"/>
  <c r="C71" i="2"/>
  <c r="C73" i="2"/>
  <c r="C75" i="2"/>
  <c r="C77" i="2"/>
  <c r="C79" i="2"/>
  <c r="C81" i="2"/>
  <c r="C83" i="2"/>
  <c r="C85" i="2"/>
  <c r="C87" i="2"/>
  <c r="C89" i="2"/>
  <c r="C91" i="2"/>
  <c r="C93" i="2"/>
  <c r="C95" i="2"/>
  <c r="C97" i="2"/>
  <c r="C99" i="2"/>
  <c r="C101" i="2"/>
  <c r="C103" i="2"/>
  <c r="C105" i="2"/>
  <c r="C107" i="2"/>
  <c r="C109" i="2"/>
  <c r="C111" i="2"/>
  <c r="C113" i="2"/>
  <c r="C115" i="2"/>
  <c r="C117" i="2"/>
  <c r="C119" i="2"/>
  <c r="C121" i="2"/>
  <c r="C123" i="2"/>
  <c r="C125" i="2"/>
  <c r="C127" i="2"/>
  <c r="C129" i="2"/>
  <c r="C131" i="2"/>
  <c r="C133" i="2"/>
  <c r="C135" i="2"/>
  <c r="C137" i="2"/>
  <c r="C139" i="2"/>
  <c r="C141" i="2"/>
  <c r="C143" i="2"/>
  <c r="C145" i="2"/>
  <c r="C147" i="2"/>
  <c r="C149" i="2"/>
  <c r="C151" i="2"/>
  <c r="C153" i="2"/>
  <c r="C155" i="2"/>
  <c r="C157" i="2"/>
  <c r="C159" i="2"/>
  <c r="C161" i="2"/>
  <c r="C163" i="2"/>
  <c r="C165" i="2"/>
  <c r="C167" i="2"/>
  <c r="C169" i="2"/>
  <c r="C171" i="2"/>
  <c r="C173" i="2"/>
  <c r="C175" i="2"/>
  <c r="C177" i="2"/>
  <c r="C179" i="2"/>
  <c r="C181" i="2"/>
  <c r="C183" i="2"/>
  <c r="C185" i="2"/>
  <c r="C187" i="2"/>
  <c r="C189" i="2"/>
  <c r="C191" i="2"/>
  <c r="C193" i="2"/>
  <c r="C195" i="2"/>
  <c r="C197" i="2"/>
  <c r="C199" i="2"/>
  <c r="C201" i="2"/>
  <c r="C203" i="2"/>
  <c r="C205" i="2"/>
  <c r="C207" i="2"/>
  <c r="C209" i="2"/>
  <c r="C211" i="2"/>
  <c r="C213" i="2"/>
  <c r="C215" i="2"/>
  <c r="C217" i="2"/>
  <c r="C219" i="2"/>
  <c r="C221" i="2"/>
  <c r="C223" i="2"/>
  <c r="C225" i="2"/>
  <c r="C227" i="2"/>
  <c r="C229" i="2"/>
  <c r="C231" i="2"/>
  <c r="C233" i="2"/>
  <c r="C235" i="2"/>
  <c r="C237" i="2"/>
  <c r="C239" i="2"/>
  <c r="C241" i="2"/>
  <c r="C243" i="2"/>
  <c r="C245" i="2"/>
  <c r="C247" i="2"/>
  <c r="C249" i="2"/>
  <c r="C251" i="2"/>
  <c r="C253" i="2"/>
  <c r="C255" i="2"/>
  <c r="C257" i="2"/>
  <c r="C259" i="2"/>
  <c r="C261" i="2"/>
  <c r="M67" i="27" l="1"/>
  <c r="N67" i="27" s="1"/>
  <c r="O67" i="27" s="1"/>
  <c r="M29" i="27"/>
  <c r="N29" i="27" s="1"/>
  <c r="O29" i="27" s="1"/>
  <c r="M46" i="27"/>
  <c r="N46" i="27" s="1"/>
  <c r="O46" i="27" s="1"/>
  <c r="O60" i="27"/>
  <c r="M61" i="27"/>
  <c r="N61" i="27" s="1"/>
  <c r="M65" i="27"/>
  <c r="N65" i="27" s="1"/>
  <c r="M64" i="27"/>
  <c r="N64" i="27" s="1"/>
  <c r="M63" i="27"/>
  <c r="N63" i="27" s="1"/>
  <c r="M62" i="27"/>
  <c r="N62" i="27" s="1"/>
  <c r="M56" i="27"/>
  <c r="N56" i="27" s="1"/>
  <c r="M55" i="27"/>
  <c r="N55" i="27" s="1"/>
  <c r="M54" i="27"/>
  <c r="N54" i="27" s="1"/>
  <c r="M53" i="27"/>
  <c r="N53" i="27" s="1"/>
  <c r="M52" i="27"/>
  <c r="N52" i="27" s="1"/>
  <c r="M51" i="27"/>
  <c r="N51" i="27" s="1"/>
  <c r="M50" i="27"/>
  <c r="N50" i="27" s="1"/>
  <c r="M49" i="27"/>
  <c r="N49" i="27" s="1"/>
  <c r="M47" i="27"/>
  <c r="N47" i="27" s="1"/>
  <c r="M28" i="27"/>
  <c r="N28" i="27" s="1"/>
  <c r="M27" i="27"/>
  <c r="N27" i="27" s="1"/>
  <c r="M76" i="27"/>
  <c r="N76" i="27" s="1"/>
  <c r="M75" i="27"/>
  <c r="N75" i="27" s="1"/>
  <c r="M74" i="27"/>
  <c r="N74" i="27" s="1"/>
  <c r="M73" i="27"/>
  <c r="N73" i="27" s="1"/>
  <c r="M71" i="27"/>
  <c r="N71" i="27" s="1"/>
  <c r="M70" i="27"/>
  <c r="N70" i="27" s="1"/>
  <c r="M69" i="27"/>
  <c r="N69" i="27" s="1"/>
  <c r="M68" i="27"/>
  <c r="N68" i="27" s="1"/>
  <c r="M59" i="27"/>
  <c r="N59" i="27" s="1"/>
  <c r="M58" i="27"/>
  <c r="N58" i="27" s="1"/>
  <c r="M57" i="27"/>
  <c r="N57" i="27" s="1"/>
  <c r="M45" i="27"/>
  <c r="N45" i="27" s="1"/>
  <c r="O18" i="27"/>
  <c r="M39" i="27"/>
  <c r="N39" i="27" s="1"/>
  <c r="M35" i="27"/>
  <c r="N35" i="27" s="1"/>
  <c r="M34" i="27"/>
  <c r="N34" i="27" s="1"/>
  <c r="M33" i="27"/>
  <c r="N33" i="27" s="1"/>
  <c r="M12" i="27"/>
  <c r="N12" i="27" s="1"/>
  <c r="M40" i="27"/>
  <c r="N40" i="27" s="1"/>
  <c r="M38" i="27"/>
  <c r="N38" i="27" s="1"/>
  <c r="M37" i="27"/>
  <c r="N37" i="27" s="1"/>
  <c r="M31" i="27"/>
  <c r="N31" i="27" s="1"/>
  <c r="M44" i="27"/>
  <c r="N44" i="27" s="1"/>
  <c r="M32" i="27"/>
  <c r="N32" i="27" s="1"/>
  <c r="M13" i="27"/>
  <c r="N13" i="27" s="1"/>
  <c r="M14" i="27"/>
  <c r="N14" i="27" s="1"/>
  <c r="M15" i="27"/>
  <c r="N15" i="27" s="1"/>
  <c r="M16" i="27"/>
  <c r="N16" i="27" s="1"/>
  <c r="M17" i="27"/>
  <c r="N17" i="27" s="1"/>
  <c r="M41" i="27"/>
  <c r="N41" i="27" s="1"/>
  <c r="M30" i="27"/>
  <c r="N30" i="27" s="1"/>
  <c r="M42" i="27"/>
  <c r="N42" i="27" s="1"/>
  <c r="M26" i="27"/>
  <c r="N26" i="27" s="1"/>
  <c r="M25" i="27"/>
  <c r="N25" i="27" s="1"/>
  <c r="M21" i="27"/>
  <c r="N21" i="27" s="1"/>
  <c r="M19" i="27"/>
  <c r="N19" i="27" s="1"/>
  <c r="M11" i="27"/>
  <c r="N11" i="27" s="1"/>
  <c r="O11" i="27" s="1"/>
  <c r="H61" i="27"/>
  <c r="H65" i="27"/>
  <c r="H64" i="27"/>
  <c r="H63" i="27"/>
  <c r="H62" i="27"/>
  <c r="H76" i="27"/>
  <c r="H75" i="27"/>
  <c r="H74" i="27"/>
  <c r="H73" i="27"/>
  <c r="H71" i="27"/>
  <c r="H70" i="27"/>
  <c r="H69" i="27"/>
  <c r="H68" i="27"/>
  <c r="H59" i="27"/>
  <c r="H58" i="27"/>
  <c r="H57" i="27"/>
  <c r="H56" i="27"/>
  <c r="H55" i="27"/>
  <c r="H54" i="27"/>
  <c r="H53" i="27"/>
  <c r="H52" i="27"/>
  <c r="H51" i="27"/>
  <c r="H50" i="27"/>
  <c r="H49" i="27"/>
  <c r="H47" i="27"/>
  <c r="H46" i="27"/>
  <c r="H45" i="27"/>
  <c r="H18" i="27"/>
  <c r="H17" i="27"/>
  <c r="H42" i="27"/>
  <c r="H41" i="27"/>
  <c r="H40" i="27"/>
  <c r="H39" i="27"/>
  <c r="H38" i="27"/>
  <c r="H35" i="27"/>
  <c r="H34" i="27"/>
  <c r="H33" i="27"/>
  <c r="H32" i="27"/>
  <c r="H31" i="27"/>
  <c r="H30" i="27"/>
  <c r="H29" i="27"/>
  <c r="H28" i="27"/>
  <c r="H27" i="27"/>
  <c r="H26" i="27"/>
  <c r="H13" i="27"/>
  <c r="H15" i="27"/>
  <c r="H19" i="27"/>
  <c r="H16" i="27"/>
  <c r="H12" i="27"/>
  <c r="H67" i="27"/>
  <c r="H44" i="27"/>
  <c r="H37" i="27"/>
  <c r="H25" i="27"/>
  <c r="H21" i="27"/>
  <c r="H14" i="27"/>
  <c r="A297" i="2"/>
  <c r="C285" i="2"/>
  <c r="A296" i="2"/>
  <c r="C284" i="2"/>
  <c r="A295" i="2"/>
  <c r="C283" i="2"/>
  <c r="A294" i="2"/>
  <c r="C282" i="2"/>
  <c r="A293" i="2"/>
  <c r="C281" i="2"/>
  <c r="A292" i="2"/>
  <c r="C280" i="2"/>
  <c r="A291" i="2"/>
  <c r="C279" i="2"/>
  <c r="A290" i="2"/>
  <c r="C278" i="2"/>
  <c r="A289" i="2"/>
  <c r="C277" i="2"/>
  <c r="A288" i="2"/>
  <c r="C276" i="2"/>
  <c r="A287" i="2"/>
  <c r="C275" i="2"/>
  <c r="A298" i="2"/>
  <c r="C286" i="2"/>
  <c r="H3" i="27" l="1"/>
  <c r="O61" i="27"/>
  <c r="O65" i="27"/>
  <c r="O64" i="27"/>
  <c r="O63" i="27"/>
  <c r="O62" i="27"/>
  <c r="O56" i="27"/>
  <c r="O55" i="27"/>
  <c r="O54" i="27"/>
  <c r="O53" i="27"/>
  <c r="O52" i="27"/>
  <c r="O51" i="27"/>
  <c r="O50" i="27"/>
  <c r="O49" i="27"/>
  <c r="O47" i="27"/>
  <c r="O28" i="27"/>
  <c r="O27" i="27"/>
  <c r="O76" i="27"/>
  <c r="O75" i="27"/>
  <c r="O74" i="27"/>
  <c r="O73" i="27"/>
  <c r="O71" i="27"/>
  <c r="O70" i="27"/>
  <c r="O69" i="27"/>
  <c r="O68" i="27"/>
  <c r="O59" i="27"/>
  <c r="O58" i="27"/>
  <c r="O57" i="27"/>
  <c r="O45" i="27"/>
  <c r="O39" i="27"/>
  <c r="O35" i="27"/>
  <c r="O34" i="27"/>
  <c r="O33" i="27"/>
  <c r="O12" i="27"/>
  <c r="H2" i="27" s="1"/>
  <c r="O40" i="27"/>
  <c r="O38" i="27"/>
  <c r="O37" i="27"/>
  <c r="O31" i="27"/>
  <c r="O44" i="27"/>
  <c r="O32" i="27"/>
  <c r="O13" i="27"/>
  <c r="O14" i="27"/>
  <c r="O15" i="27"/>
  <c r="O16" i="27"/>
  <c r="O17" i="27"/>
  <c r="O41" i="27"/>
  <c r="O30" i="27"/>
  <c r="O42" i="27"/>
  <c r="O26" i="27"/>
  <c r="O25" i="27"/>
  <c r="O21" i="27"/>
  <c r="O19" i="27"/>
  <c r="A310" i="2"/>
  <c r="C298" i="2"/>
  <c r="A299" i="2"/>
  <c r="C287" i="2"/>
  <c r="A300" i="2"/>
  <c r="C288" i="2"/>
  <c r="A301" i="2"/>
  <c r="C289" i="2"/>
  <c r="A302" i="2"/>
  <c r="C290" i="2"/>
  <c r="A303" i="2"/>
  <c r="C291" i="2"/>
  <c r="A304" i="2"/>
  <c r="C292" i="2"/>
  <c r="A305" i="2"/>
  <c r="C293" i="2"/>
  <c r="A306" i="2"/>
  <c r="C294" i="2"/>
  <c r="A307" i="2"/>
  <c r="C295" i="2"/>
  <c r="A308" i="2"/>
  <c r="C296" i="2"/>
  <c r="A309" i="2"/>
  <c r="C297" i="2"/>
  <c r="A321" i="2" l="1"/>
  <c r="C309" i="2"/>
  <c r="A320" i="2"/>
  <c r="C308" i="2"/>
  <c r="A319" i="2"/>
  <c r="C307" i="2"/>
  <c r="A318" i="2"/>
  <c r="C306" i="2"/>
  <c r="A317" i="2"/>
  <c r="C305" i="2"/>
  <c r="A316" i="2"/>
  <c r="C304" i="2"/>
  <c r="A315" i="2"/>
  <c r="C303" i="2"/>
  <c r="A314" i="2"/>
  <c r="C302" i="2"/>
  <c r="A313" i="2"/>
  <c r="C301" i="2"/>
  <c r="A312" i="2"/>
  <c r="C300" i="2"/>
  <c r="A311" i="2"/>
  <c r="C299" i="2"/>
  <c r="C310" i="2"/>
  <c r="A322" i="2"/>
  <c r="H5" i="27" l="1"/>
  <c r="C311" i="2"/>
  <c r="A323" i="2"/>
  <c r="C312" i="2"/>
  <c r="A324" i="2"/>
  <c r="C313" i="2"/>
  <c r="A325" i="2"/>
  <c r="C314" i="2"/>
  <c r="A326" i="2"/>
  <c r="C315" i="2"/>
  <c r="A327" i="2"/>
  <c r="C316" i="2"/>
  <c r="A328" i="2"/>
  <c r="C317" i="2"/>
  <c r="A329" i="2"/>
  <c r="C318" i="2"/>
  <c r="A330" i="2"/>
  <c r="C319" i="2"/>
  <c r="A331" i="2"/>
  <c r="C320" i="2"/>
  <c r="A332" i="2"/>
  <c r="C321" i="2"/>
  <c r="A333" i="2"/>
  <c r="C322" i="2"/>
  <c r="A334" i="2"/>
  <c r="C334" i="2" l="1"/>
  <c r="A346" i="2"/>
  <c r="C333" i="2"/>
  <c r="A345" i="2"/>
  <c r="C332" i="2"/>
  <c r="A344" i="2"/>
  <c r="C331" i="2"/>
  <c r="A343" i="2"/>
  <c r="C330" i="2"/>
  <c r="A342" i="2"/>
  <c r="C329" i="2"/>
  <c r="A341" i="2"/>
  <c r="C328" i="2"/>
  <c r="A340" i="2"/>
  <c r="C327" i="2"/>
  <c r="A339" i="2"/>
  <c r="C326" i="2"/>
  <c r="A338" i="2"/>
  <c r="C325" i="2"/>
  <c r="A337" i="2"/>
  <c r="C324" i="2"/>
  <c r="A336" i="2"/>
  <c r="C323" i="2"/>
  <c r="A335" i="2"/>
  <c r="C335" i="2" l="1"/>
  <c r="A347" i="2"/>
  <c r="C336" i="2"/>
  <c r="A348" i="2"/>
  <c r="C337" i="2"/>
  <c r="A349" i="2"/>
  <c r="C338" i="2"/>
  <c r="A350" i="2"/>
  <c r="C339" i="2"/>
  <c r="A351" i="2"/>
  <c r="C340" i="2"/>
  <c r="A352" i="2"/>
  <c r="C341" i="2"/>
  <c r="A353" i="2"/>
  <c r="C342" i="2"/>
  <c r="A354" i="2"/>
  <c r="C343" i="2"/>
  <c r="A355" i="2"/>
  <c r="C344" i="2"/>
  <c r="A356" i="2"/>
  <c r="C345" i="2"/>
  <c r="A357" i="2"/>
  <c r="C346" i="2"/>
  <c r="A358" i="2"/>
  <c r="C358" i="2" l="1"/>
  <c r="A370" i="2"/>
  <c r="C357" i="2"/>
  <c r="A369" i="2"/>
  <c r="C356" i="2"/>
  <c r="A368" i="2"/>
  <c r="C355" i="2"/>
  <c r="A367" i="2"/>
  <c r="C354" i="2"/>
  <c r="A366" i="2"/>
  <c r="C353" i="2"/>
  <c r="A365" i="2"/>
  <c r="C352" i="2"/>
  <c r="A364" i="2"/>
  <c r="C351" i="2"/>
  <c r="A363" i="2"/>
  <c r="C350" i="2"/>
  <c r="A362" i="2"/>
  <c r="C349" i="2"/>
  <c r="A361" i="2"/>
  <c r="C348" i="2"/>
  <c r="A360" i="2"/>
  <c r="C347" i="2"/>
  <c r="A359" i="2"/>
  <c r="C359" i="2" l="1"/>
  <c r="A371" i="2"/>
  <c r="C360" i="2"/>
  <c r="A372" i="2"/>
  <c r="C361" i="2"/>
  <c r="A373" i="2"/>
  <c r="C362" i="2"/>
  <c r="A374" i="2"/>
  <c r="C363" i="2"/>
  <c r="A375" i="2"/>
  <c r="C364" i="2"/>
  <c r="A376" i="2"/>
  <c r="C365" i="2"/>
  <c r="A377" i="2"/>
  <c r="C366" i="2"/>
  <c r="A378" i="2"/>
  <c r="C367" i="2"/>
  <c r="A379" i="2"/>
  <c r="C368" i="2"/>
  <c r="A380" i="2"/>
  <c r="C369" i="2"/>
  <c r="A381" i="2"/>
  <c r="C370" i="2"/>
  <c r="A382" i="2"/>
  <c r="C382" i="2" l="1"/>
  <c r="A394" i="2"/>
  <c r="C381" i="2"/>
  <c r="A393" i="2"/>
  <c r="C380" i="2"/>
  <c r="A392" i="2"/>
  <c r="C379" i="2"/>
  <c r="A391" i="2"/>
  <c r="C378" i="2"/>
  <c r="A390" i="2"/>
  <c r="C377" i="2"/>
  <c r="A389" i="2"/>
  <c r="C376" i="2"/>
  <c r="A388" i="2"/>
  <c r="C375" i="2"/>
  <c r="A387" i="2"/>
  <c r="C374" i="2"/>
  <c r="A386" i="2"/>
  <c r="C373" i="2"/>
  <c r="A385" i="2"/>
  <c r="C372" i="2"/>
  <c r="A384" i="2"/>
  <c r="C371" i="2"/>
  <c r="A383" i="2"/>
  <c r="C383" i="2" l="1"/>
  <c r="A395" i="2"/>
  <c r="C384" i="2"/>
  <c r="A396" i="2"/>
  <c r="C385" i="2"/>
  <c r="A397" i="2"/>
  <c r="C386" i="2"/>
  <c r="A398" i="2"/>
  <c r="C387" i="2"/>
  <c r="A399" i="2"/>
  <c r="C388" i="2"/>
  <c r="A400" i="2"/>
  <c r="C389" i="2"/>
  <c r="A401" i="2"/>
  <c r="C390" i="2"/>
  <c r="A402" i="2"/>
  <c r="C391" i="2"/>
  <c r="A403" i="2"/>
  <c r="C392" i="2"/>
  <c r="A404" i="2"/>
  <c r="C393" i="2"/>
  <c r="A405" i="2"/>
  <c r="C394" i="2"/>
  <c r="A406" i="2"/>
  <c r="C406" i="2" l="1"/>
  <c r="A418" i="2"/>
  <c r="C405" i="2"/>
  <c r="A417" i="2"/>
  <c r="C404" i="2"/>
  <c r="A416" i="2"/>
  <c r="C403" i="2"/>
  <c r="A415" i="2"/>
  <c r="C402" i="2"/>
  <c r="A414" i="2"/>
  <c r="C401" i="2"/>
  <c r="A413" i="2"/>
  <c r="C400" i="2"/>
  <c r="A412" i="2"/>
  <c r="C399" i="2"/>
  <c r="A411" i="2"/>
  <c r="C398" i="2"/>
  <c r="A410" i="2"/>
  <c r="C397" i="2"/>
  <c r="A409" i="2"/>
  <c r="C396" i="2"/>
  <c r="A408" i="2"/>
  <c r="C395" i="2"/>
  <c r="A407" i="2"/>
  <c r="C407" i="2" l="1"/>
  <c r="A419" i="2"/>
  <c r="C408" i="2"/>
  <c r="A420" i="2"/>
  <c r="C409" i="2"/>
  <c r="A421" i="2"/>
  <c r="C410" i="2"/>
  <c r="A422" i="2"/>
  <c r="C411" i="2"/>
  <c r="A423" i="2"/>
  <c r="C412" i="2"/>
  <c r="A424" i="2"/>
  <c r="C413" i="2"/>
  <c r="A425" i="2"/>
  <c r="C414" i="2"/>
  <c r="A426" i="2"/>
  <c r="C415" i="2"/>
  <c r="A427" i="2"/>
  <c r="C416" i="2"/>
  <c r="A428" i="2"/>
  <c r="C417" i="2"/>
  <c r="A429" i="2"/>
  <c r="C418" i="2"/>
  <c r="A430" i="2"/>
  <c r="C430" i="2" l="1"/>
  <c r="A442" i="2"/>
  <c r="C429" i="2"/>
  <c r="A441" i="2"/>
  <c r="C428" i="2"/>
  <c r="A440" i="2"/>
  <c r="C427" i="2"/>
  <c r="A439" i="2"/>
  <c r="C426" i="2"/>
  <c r="A438" i="2"/>
  <c r="C425" i="2"/>
  <c r="A437" i="2"/>
  <c r="C424" i="2"/>
  <c r="A436" i="2"/>
  <c r="C423" i="2"/>
  <c r="A435" i="2"/>
  <c r="C422" i="2"/>
  <c r="A434" i="2"/>
  <c r="C421" i="2"/>
  <c r="A433" i="2"/>
  <c r="C420" i="2"/>
  <c r="A432" i="2"/>
  <c r="C419" i="2"/>
  <c r="A431" i="2"/>
  <c r="C431" i="2" l="1"/>
  <c r="A443" i="2"/>
  <c r="C432" i="2"/>
  <c r="A444" i="2"/>
  <c r="C433" i="2"/>
  <c r="A445" i="2"/>
  <c r="C434" i="2"/>
  <c r="A446" i="2"/>
  <c r="C435" i="2"/>
  <c r="A447" i="2"/>
  <c r="C436" i="2"/>
  <c r="A448" i="2"/>
  <c r="C437" i="2"/>
  <c r="A449" i="2"/>
  <c r="C438" i="2"/>
  <c r="A450" i="2"/>
  <c r="C439" i="2"/>
  <c r="A451" i="2"/>
  <c r="C440" i="2"/>
  <c r="A452" i="2"/>
  <c r="C441" i="2"/>
  <c r="A453" i="2"/>
  <c r="C442" i="2"/>
  <c r="A454" i="2"/>
  <c r="C454" i="2" l="1"/>
  <c r="A466" i="2"/>
  <c r="C453" i="2"/>
  <c r="A465" i="2"/>
  <c r="C452" i="2"/>
  <c r="A464" i="2"/>
  <c r="C451" i="2"/>
  <c r="A463" i="2"/>
  <c r="C450" i="2"/>
  <c r="A462" i="2"/>
  <c r="C449" i="2"/>
  <c r="A461" i="2"/>
  <c r="C448" i="2"/>
  <c r="A460" i="2"/>
  <c r="C447" i="2"/>
  <c r="A459" i="2"/>
  <c r="C446" i="2"/>
  <c r="A458" i="2"/>
  <c r="C445" i="2"/>
  <c r="A457" i="2"/>
  <c r="C444" i="2"/>
  <c r="A456" i="2"/>
  <c r="C443" i="2"/>
  <c r="A455" i="2"/>
  <c r="C455" i="2" l="1"/>
  <c r="A467" i="2"/>
  <c r="C456" i="2"/>
  <c r="A468" i="2"/>
  <c r="C457" i="2"/>
  <c r="A469" i="2"/>
  <c r="C458" i="2"/>
  <c r="A470" i="2"/>
  <c r="C459" i="2"/>
  <c r="A471" i="2"/>
  <c r="C460" i="2"/>
  <c r="A472" i="2"/>
  <c r="C461" i="2"/>
  <c r="A473" i="2"/>
  <c r="C462" i="2"/>
  <c r="A474" i="2"/>
  <c r="C463" i="2"/>
  <c r="A475" i="2"/>
  <c r="C464" i="2"/>
  <c r="A476" i="2"/>
  <c r="C465" i="2"/>
  <c r="A477" i="2"/>
  <c r="C466" i="2"/>
  <c r="A478" i="2"/>
  <c r="C478" i="2" l="1"/>
  <c r="A490" i="2"/>
  <c r="C477" i="2"/>
  <c r="A489" i="2"/>
  <c r="C476" i="2"/>
  <c r="A488" i="2"/>
  <c r="C475" i="2"/>
  <c r="A487" i="2"/>
  <c r="C474" i="2"/>
  <c r="A486" i="2"/>
  <c r="C473" i="2"/>
  <c r="A485" i="2"/>
  <c r="C472" i="2"/>
  <c r="A484" i="2"/>
  <c r="C471" i="2"/>
  <c r="A483" i="2"/>
  <c r="C470" i="2"/>
  <c r="A482" i="2"/>
  <c r="C469" i="2"/>
  <c r="A481" i="2"/>
  <c r="C468" i="2"/>
  <c r="A480" i="2"/>
  <c r="C467" i="2"/>
  <c r="A479" i="2"/>
  <c r="C479" i="2" l="1"/>
  <c r="A491" i="2"/>
  <c r="C480" i="2"/>
  <c r="A492" i="2"/>
  <c r="C481" i="2"/>
  <c r="A493" i="2"/>
  <c r="C482" i="2"/>
  <c r="A494" i="2"/>
  <c r="C483" i="2"/>
  <c r="A495" i="2"/>
  <c r="C484" i="2"/>
  <c r="A496" i="2"/>
  <c r="C485" i="2"/>
  <c r="A497" i="2"/>
  <c r="C486" i="2"/>
  <c r="A498" i="2"/>
  <c r="C487" i="2"/>
  <c r="A499" i="2"/>
  <c r="C488" i="2"/>
  <c r="A500" i="2"/>
  <c r="C489" i="2"/>
  <c r="A501" i="2"/>
  <c r="C490" i="2"/>
  <c r="A502" i="2"/>
  <c r="C502" i="2" l="1"/>
  <c r="A514" i="2"/>
  <c r="C501" i="2"/>
  <c r="A513" i="2"/>
  <c r="C500" i="2"/>
  <c r="A512" i="2"/>
  <c r="C499" i="2"/>
  <c r="A511" i="2"/>
  <c r="C498" i="2"/>
  <c r="A510" i="2"/>
  <c r="C497" i="2"/>
  <c r="A509" i="2"/>
  <c r="C496" i="2"/>
  <c r="A508" i="2"/>
  <c r="C495" i="2"/>
  <c r="A507" i="2"/>
  <c r="C494" i="2"/>
  <c r="A506" i="2"/>
  <c r="C493" i="2"/>
  <c r="A505" i="2"/>
  <c r="C492" i="2"/>
  <c r="A504" i="2"/>
  <c r="C491" i="2"/>
  <c r="A503" i="2"/>
  <c r="C503" i="2" l="1"/>
  <c r="A515" i="2"/>
  <c r="C504" i="2"/>
  <c r="A516" i="2"/>
  <c r="C505" i="2"/>
  <c r="A517" i="2"/>
  <c r="C506" i="2"/>
  <c r="A518" i="2"/>
  <c r="C507" i="2"/>
  <c r="A519" i="2"/>
  <c r="C508" i="2"/>
  <c r="A520" i="2"/>
  <c r="C509" i="2"/>
  <c r="A521" i="2"/>
  <c r="C510" i="2"/>
  <c r="A522" i="2"/>
  <c r="C511" i="2"/>
  <c r="A523" i="2"/>
  <c r="C512" i="2"/>
  <c r="A524" i="2"/>
  <c r="C513" i="2"/>
  <c r="A525" i="2"/>
  <c r="C514" i="2"/>
  <c r="A526" i="2"/>
  <c r="C526" i="2" l="1"/>
  <c r="A538" i="2"/>
  <c r="C525" i="2"/>
  <c r="A537" i="2"/>
  <c r="C524" i="2"/>
  <c r="A536" i="2"/>
  <c r="C523" i="2"/>
  <c r="A535" i="2"/>
  <c r="C522" i="2"/>
  <c r="A534" i="2"/>
  <c r="C521" i="2"/>
  <c r="A533" i="2"/>
  <c r="C520" i="2"/>
  <c r="A532" i="2"/>
  <c r="C519" i="2"/>
  <c r="A531" i="2"/>
  <c r="C518" i="2"/>
  <c r="A530" i="2"/>
  <c r="C517" i="2"/>
  <c r="A529" i="2"/>
  <c r="C516" i="2"/>
  <c r="A528" i="2"/>
  <c r="C515" i="2"/>
  <c r="A527" i="2"/>
  <c r="C527" i="2" l="1"/>
  <c r="A539" i="2"/>
  <c r="C528" i="2"/>
  <c r="A540" i="2"/>
  <c r="C529" i="2"/>
  <c r="A541" i="2"/>
  <c r="C530" i="2"/>
  <c r="A542" i="2"/>
  <c r="C531" i="2"/>
  <c r="A543" i="2"/>
  <c r="C532" i="2"/>
  <c r="A544" i="2"/>
  <c r="C533" i="2"/>
  <c r="A545" i="2"/>
  <c r="C534" i="2"/>
  <c r="A546" i="2"/>
  <c r="C535" i="2"/>
  <c r="A547" i="2"/>
  <c r="C536" i="2"/>
  <c r="A548" i="2"/>
  <c r="C537" i="2"/>
  <c r="A549" i="2"/>
  <c r="C538" i="2"/>
  <c r="A550" i="2"/>
  <c r="C550" i="2" l="1"/>
  <c r="A562" i="2"/>
  <c r="C549" i="2"/>
  <c r="A561" i="2"/>
  <c r="C548" i="2"/>
  <c r="A560" i="2"/>
  <c r="C547" i="2"/>
  <c r="A559" i="2"/>
  <c r="C546" i="2"/>
  <c r="A558" i="2"/>
  <c r="C545" i="2"/>
  <c r="A557" i="2"/>
  <c r="C544" i="2"/>
  <c r="A556" i="2"/>
  <c r="C543" i="2"/>
  <c r="A555" i="2"/>
  <c r="C542" i="2"/>
  <c r="A554" i="2"/>
  <c r="C541" i="2"/>
  <c r="A553" i="2"/>
  <c r="C540" i="2"/>
  <c r="A552" i="2"/>
  <c r="C539" i="2"/>
  <c r="A551" i="2"/>
  <c r="C551" i="2" l="1"/>
  <c r="A563" i="2"/>
  <c r="C552" i="2"/>
  <c r="A564" i="2"/>
  <c r="C553" i="2"/>
  <c r="A565" i="2"/>
  <c r="C554" i="2"/>
  <c r="A566" i="2"/>
  <c r="A567" i="2"/>
  <c r="C555" i="2"/>
  <c r="C556" i="2"/>
  <c r="A568" i="2"/>
  <c r="A569" i="2"/>
  <c r="C557" i="2"/>
  <c r="C558" i="2"/>
  <c r="A570" i="2"/>
  <c r="A571" i="2"/>
  <c r="C559" i="2"/>
  <c r="C560" i="2"/>
  <c r="A572" i="2"/>
  <c r="A573" i="2"/>
  <c r="C561" i="2"/>
  <c r="C562" i="2"/>
  <c r="A574" i="2"/>
  <c r="C574" i="2" l="1"/>
  <c r="A586" i="2"/>
  <c r="C572" i="2"/>
  <c r="A584" i="2"/>
  <c r="C570" i="2"/>
  <c r="A582" i="2"/>
  <c r="C568" i="2"/>
  <c r="A580" i="2"/>
  <c r="C566" i="2"/>
  <c r="A578" i="2"/>
  <c r="A577" i="2"/>
  <c r="C565" i="2"/>
  <c r="C564" i="2"/>
  <c r="A576" i="2"/>
  <c r="A575" i="2"/>
  <c r="C563" i="2"/>
  <c r="C573" i="2"/>
  <c r="A585" i="2"/>
  <c r="C571" i="2"/>
  <c r="A583" i="2"/>
  <c r="C569" i="2"/>
  <c r="A581" i="2"/>
  <c r="C567" i="2"/>
  <c r="A579" i="2"/>
  <c r="C579" i="2" l="1"/>
  <c r="A591" i="2"/>
  <c r="C581" i="2"/>
  <c r="A593" i="2"/>
  <c r="C583" i="2"/>
  <c r="A595" i="2"/>
  <c r="C585" i="2"/>
  <c r="A597" i="2"/>
  <c r="C576" i="2"/>
  <c r="A588" i="2"/>
  <c r="C578" i="2"/>
  <c r="A590" i="2"/>
  <c r="C580" i="2"/>
  <c r="A592" i="2"/>
  <c r="C582" i="2"/>
  <c r="A594" i="2"/>
  <c r="C584" i="2"/>
  <c r="A596" i="2"/>
  <c r="C586" i="2"/>
  <c r="A598" i="2"/>
  <c r="C575" i="2"/>
  <c r="A587" i="2"/>
  <c r="C577" i="2"/>
  <c r="A589" i="2"/>
  <c r="C589" i="2" l="1"/>
  <c r="A601" i="2"/>
  <c r="C587" i="2"/>
  <c r="A599" i="2"/>
  <c r="C598" i="2"/>
  <c r="A610" i="2"/>
  <c r="C596" i="2"/>
  <c r="A608" i="2"/>
  <c r="C594" i="2"/>
  <c r="A606" i="2"/>
  <c r="C592" i="2"/>
  <c r="A604" i="2"/>
  <c r="C590" i="2"/>
  <c r="A602" i="2"/>
  <c r="C588" i="2"/>
  <c r="A600" i="2"/>
  <c r="C597" i="2"/>
  <c r="A609" i="2"/>
  <c r="C595" i="2"/>
  <c r="A607" i="2"/>
  <c r="C593" i="2"/>
  <c r="A605" i="2"/>
  <c r="C591" i="2"/>
  <c r="A603" i="2"/>
  <c r="C603" i="2" l="1"/>
  <c r="A615" i="2"/>
  <c r="C605" i="2"/>
  <c r="A617" i="2"/>
  <c r="C607" i="2"/>
  <c r="A619" i="2"/>
  <c r="C609" i="2"/>
  <c r="A621" i="2"/>
  <c r="C600" i="2"/>
  <c r="A612" i="2"/>
  <c r="C602" i="2"/>
  <c r="A614" i="2"/>
  <c r="C604" i="2"/>
  <c r="A616" i="2"/>
  <c r="C606" i="2"/>
  <c r="A618" i="2"/>
  <c r="C608" i="2"/>
  <c r="A620" i="2"/>
  <c r="C610" i="2"/>
  <c r="A622" i="2"/>
  <c r="C599" i="2"/>
  <c r="A611" i="2"/>
  <c r="C601" i="2"/>
  <c r="A613" i="2"/>
  <c r="C613" i="2" l="1"/>
  <c r="A625" i="2"/>
  <c r="C611" i="2"/>
  <c r="A623" i="2"/>
  <c r="C622" i="2"/>
  <c r="A634" i="2"/>
  <c r="C620" i="2"/>
  <c r="A632" i="2"/>
  <c r="C618" i="2"/>
  <c r="A630" i="2"/>
  <c r="C616" i="2"/>
  <c r="A628" i="2"/>
  <c r="C614" i="2"/>
  <c r="A626" i="2"/>
  <c r="C612" i="2"/>
  <c r="A624" i="2"/>
  <c r="C621" i="2"/>
  <c r="A633" i="2"/>
  <c r="C619" i="2"/>
  <c r="A631" i="2"/>
  <c r="C617" i="2"/>
  <c r="A629" i="2"/>
  <c r="C615" i="2"/>
  <c r="A627" i="2"/>
  <c r="C627" i="2" l="1"/>
  <c r="A639" i="2"/>
  <c r="C629" i="2"/>
  <c r="A641" i="2"/>
  <c r="C631" i="2"/>
  <c r="A643" i="2"/>
  <c r="C633" i="2"/>
  <c r="A645" i="2"/>
  <c r="C624" i="2"/>
  <c r="A636" i="2"/>
  <c r="C626" i="2"/>
  <c r="A638" i="2"/>
  <c r="C628" i="2"/>
  <c r="A640" i="2"/>
  <c r="C630" i="2"/>
  <c r="A642" i="2"/>
  <c r="C632" i="2"/>
  <c r="A644" i="2"/>
  <c r="C634" i="2"/>
  <c r="A646" i="2"/>
  <c r="C623" i="2"/>
  <c r="A635" i="2"/>
  <c r="C625" i="2"/>
  <c r="A637" i="2"/>
  <c r="C637" i="2" l="1"/>
  <c r="A649" i="2"/>
  <c r="C635" i="2"/>
  <c r="A647" i="2"/>
  <c r="C646" i="2"/>
  <c r="A658" i="2"/>
  <c r="C644" i="2"/>
  <c r="A656" i="2"/>
  <c r="C642" i="2"/>
  <c r="A654" i="2"/>
  <c r="C640" i="2"/>
  <c r="A652" i="2"/>
  <c r="C638" i="2"/>
  <c r="A650" i="2"/>
  <c r="C636" i="2"/>
  <c r="A648" i="2"/>
  <c r="C645" i="2"/>
  <c r="A657" i="2"/>
  <c r="C643" i="2"/>
  <c r="A655" i="2"/>
  <c r="C641" i="2"/>
  <c r="A653" i="2"/>
  <c r="C639" i="2"/>
  <c r="A651" i="2"/>
  <c r="C651" i="2" l="1"/>
  <c r="A663" i="2"/>
  <c r="C653" i="2"/>
  <c r="A665" i="2"/>
  <c r="C655" i="2"/>
  <c r="A667" i="2"/>
  <c r="C657" i="2"/>
  <c r="A669" i="2"/>
  <c r="C648" i="2"/>
  <c r="A660" i="2"/>
  <c r="C650" i="2"/>
  <c r="A662" i="2"/>
  <c r="C652" i="2"/>
  <c r="A664" i="2"/>
  <c r="C654" i="2"/>
  <c r="A666" i="2"/>
  <c r="C656" i="2"/>
  <c r="A668" i="2"/>
  <c r="C658" i="2"/>
  <c r="A670" i="2"/>
  <c r="C647" i="2"/>
  <c r="A659" i="2"/>
  <c r="C649" i="2"/>
  <c r="A661" i="2"/>
  <c r="C661" i="2" l="1"/>
  <c r="A673" i="2"/>
  <c r="C659" i="2"/>
  <c r="A671" i="2"/>
  <c r="C670" i="2"/>
  <c r="A682" i="2"/>
  <c r="C668" i="2"/>
  <c r="A680" i="2"/>
  <c r="C666" i="2"/>
  <c r="A678" i="2"/>
  <c r="C664" i="2"/>
  <c r="A676" i="2"/>
  <c r="C662" i="2"/>
  <c r="A674" i="2"/>
  <c r="C660" i="2"/>
  <c r="A672" i="2"/>
  <c r="C669" i="2"/>
  <c r="A681" i="2"/>
  <c r="C667" i="2"/>
  <c r="A679" i="2"/>
  <c r="C665" i="2"/>
  <c r="A677" i="2"/>
  <c r="C663" i="2"/>
  <c r="A675" i="2"/>
  <c r="C675" i="2" l="1"/>
  <c r="A687" i="2"/>
  <c r="C677" i="2"/>
  <c r="A689" i="2"/>
  <c r="C679" i="2"/>
  <c r="A691" i="2"/>
  <c r="C681" i="2"/>
  <c r="A693" i="2"/>
  <c r="C672" i="2"/>
  <c r="A684" i="2"/>
  <c r="C674" i="2"/>
  <c r="A686" i="2"/>
  <c r="C676" i="2"/>
  <c r="A688" i="2"/>
  <c r="C678" i="2"/>
  <c r="A690" i="2"/>
  <c r="C680" i="2"/>
  <c r="A692" i="2"/>
  <c r="A694" i="2"/>
  <c r="C682" i="2"/>
  <c r="C671" i="2"/>
  <c r="A683" i="2"/>
  <c r="C673" i="2"/>
  <c r="A685" i="2"/>
  <c r="A697" i="2" l="1"/>
  <c r="C685" i="2"/>
  <c r="A695" i="2"/>
  <c r="C683" i="2"/>
  <c r="A704" i="2"/>
  <c r="C692" i="2"/>
  <c r="A702" i="2"/>
  <c r="C690" i="2"/>
  <c r="A700" i="2"/>
  <c r="C688" i="2"/>
  <c r="A698" i="2"/>
  <c r="C686" i="2"/>
  <c r="A696" i="2"/>
  <c r="C684" i="2"/>
  <c r="A705" i="2"/>
  <c r="C693" i="2"/>
  <c r="A703" i="2"/>
  <c r="C691" i="2"/>
  <c r="A701" i="2"/>
  <c r="C689" i="2"/>
  <c r="A699" i="2"/>
  <c r="C687" i="2"/>
  <c r="A706" i="2"/>
  <c r="C694" i="2"/>
  <c r="A718" i="2" l="1"/>
  <c r="C706" i="2"/>
  <c r="A711" i="2"/>
  <c r="C699" i="2"/>
  <c r="A713" i="2"/>
  <c r="C701" i="2"/>
  <c r="A715" i="2"/>
  <c r="C703" i="2"/>
  <c r="A717" i="2"/>
  <c r="C705" i="2"/>
  <c r="A708" i="2"/>
  <c r="C696" i="2"/>
  <c r="A710" i="2"/>
  <c r="C698" i="2"/>
  <c r="A712" i="2"/>
  <c r="C700" i="2"/>
  <c r="A714" i="2"/>
  <c r="C702" i="2"/>
  <c r="A716" i="2"/>
  <c r="C704" i="2"/>
  <c r="A707" i="2"/>
  <c r="C695" i="2"/>
  <c r="A709" i="2"/>
  <c r="C697" i="2"/>
  <c r="A721" i="2" l="1"/>
  <c r="C709" i="2"/>
  <c r="A719" i="2"/>
  <c r="C707" i="2"/>
  <c r="A728" i="2"/>
  <c r="C716" i="2"/>
  <c r="A726" i="2"/>
  <c r="C714" i="2"/>
  <c r="A724" i="2"/>
  <c r="C712" i="2"/>
  <c r="A722" i="2"/>
  <c r="C710" i="2"/>
  <c r="A720" i="2"/>
  <c r="C708" i="2"/>
  <c r="A729" i="2"/>
  <c r="C717" i="2"/>
  <c r="A727" i="2"/>
  <c r="C715" i="2"/>
  <c r="A725" i="2"/>
  <c r="C713" i="2"/>
  <c r="A723" i="2"/>
  <c r="C711" i="2"/>
  <c r="A730" i="2"/>
  <c r="C718" i="2"/>
  <c r="A742" i="2" l="1"/>
  <c r="C730" i="2"/>
  <c r="A735" i="2"/>
  <c r="C723" i="2"/>
  <c r="A737" i="2"/>
  <c r="C725" i="2"/>
  <c r="A739" i="2"/>
  <c r="C727" i="2"/>
  <c r="A741" i="2"/>
  <c r="C729" i="2"/>
  <c r="A732" i="2"/>
  <c r="C720" i="2"/>
  <c r="A734" i="2"/>
  <c r="C722" i="2"/>
  <c r="A736" i="2"/>
  <c r="C724" i="2"/>
  <c r="A738" i="2"/>
  <c r="C726" i="2"/>
  <c r="A740" i="2"/>
  <c r="C728" i="2"/>
  <c r="A731" i="2"/>
  <c r="C719" i="2"/>
  <c r="A733" i="2"/>
  <c r="C721" i="2"/>
  <c r="A745" i="2" l="1"/>
  <c r="C733" i="2"/>
  <c r="A743" i="2"/>
  <c r="C731" i="2"/>
  <c r="A752" i="2"/>
  <c r="C740" i="2"/>
  <c r="A750" i="2"/>
  <c r="C738" i="2"/>
  <c r="A748" i="2"/>
  <c r="C736" i="2"/>
  <c r="A746" i="2"/>
  <c r="C734" i="2"/>
  <c r="A744" i="2"/>
  <c r="C732" i="2"/>
  <c r="A753" i="2"/>
  <c r="C741" i="2"/>
  <c r="A751" i="2"/>
  <c r="C739" i="2"/>
  <c r="A749" i="2"/>
  <c r="C737" i="2"/>
  <c r="A747" i="2"/>
  <c r="C735" i="2"/>
  <c r="A754" i="2"/>
  <c r="C742" i="2"/>
  <c r="A766" i="2" l="1"/>
  <c r="C754" i="2"/>
  <c r="A759" i="2"/>
  <c r="C747" i="2"/>
  <c r="A761" i="2"/>
  <c r="C749" i="2"/>
  <c r="A763" i="2"/>
  <c r="C751" i="2"/>
  <c r="A765" i="2"/>
  <c r="C753" i="2"/>
  <c r="A756" i="2"/>
  <c r="C744" i="2"/>
  <c r="A758" i="2"/>
  <c r="C746" i="2"/>
  <c r="A760" i="2"/>
  <c r="C748" i="2"/>
  <c r="A762" i="2"/>
  <c r="C750" i="2"/>
  <c r="A764" i="2"/>
  <c r="C752" i="2"/>
  <c r="A755" i="2"/>
  <c r="C743" i="2"/>
  <c r="A757" i="2"/>
  <c r="C745" i="2"/>
  <c r="A769" i="2" l="1"/>
  <c r="C757" i="2"/>
  <c r="A767" i="2"/>
  <c r="C755" i="2"/>
  <c r="A776" i="2"/>
  <c r="C764" i="2"/>
  <c r="A774" i="2"/>
  <c r="C762" i="2"/>
  <c r="A772" i="2"/>
  <c r="C760" i="2"/>
  <c r="A770" i="2"/>
  <c r="C758" i="2"/>
  <c r="A768" i="2"/>
  <c r="C756" i="2"/>
  <c r="A777" i="2"/>
  <c r="C765" i="2"/>
  <c r="A775" i="2"/>
  <c r="C763" i="2"/>
  <c r="A773" i="2"/>
  <c r="C761" i="2"/>
  <c r="A771" i="2"/>
  <c r="C759" i="2"/>
  <c r="A778" i="2"/>
  <c r="C766" i="2"/>
  <c r="C774" i="2" l="1"/>
  <c r="A786" i="2"/>
  <c r="C776" i="2"/>
  <c r="A788" i="2"/>
  <c r="C778" i="2"/>
  <c r="A790" i="2"/>
  <c r="C777" i="2"/>
  <c r="A789" i="2"/>
  <c r="C771" i="2"/>
  <c r="A783" i="2"/>
  <c r="C768" i="2"/>
  <c r="A780" i="2"/>
  <c r="C773" i="2"/>
  <c r="A785" i="2"/>
  <c r="C770" i="2"/>
  <c r="A782" i="2"/>
  <c r="C767" i="2"/>
  <c r="A779" i="2"/>
  <c r="C775" i="2"/>
  <c r="A787" i="2"/>
  <c r="C772" i="2"/>
  <c r="A784" i="2"/>
  <c r="C769" i="2"/>
  <c r="A781" i="2"/>
  <c r="A793" i="2" l="1"/>
  <c r="C781" i="2"/>
  <c r="A792" i="2"/>
  <c r="C780" i="2"/>
  <c r="A796" i="2"/>
  <c r="C784" i="2"/>
  <c r="A795" i="2"/>
  <c r="C783" i="2"/>
  <c r="A799" i="2"/>
  <c r="C787" i="2"/>
  <c r="A801" i="2"/>
  <c r="C789" i="2"/>
  <c r="A791" i="2"/>
  <c r="C779" i="2"/>
  <c r="A802" i="2"/>
  <c r="C790" i="2"/>
  <c r="A794" i="2"/>
  <c r="C782" i="2"/>
  <c r="A800" i="2"/>
  <c r="C788" i="2"/>
  <c r="A797" i="2"/>
  <c r="C785" i="2"/>
  <c r="A798" i="2"/>
  <c r="C786" i="2"/>
  <c r="A810" i="2" l="1"/>
  <c r="C798" i="2"/>
  <c r="A813" i="2"/>
  <c r="C801" i="2"/>
  <c r="A809" i="2"/>
  <c r="C797" i="2"/>
  <c r="A811" i="2"/>
  <c r="C799" i="2"/>
  <c r="A812" i="2"/>
  <c r="C812" i="2" s="1"/>
  <c r="C800" i="2"/>
  <c r="A807" i="2"/>
  <c r="C795" i="2"/>
  <c r="A806" i="2"/>
  <c r="C794" i="2"/>
  <c r="A808" i="2"/>
  <c r="C796" i="2"/>
  <c r="A814" i="2"/>
  <c r="C802" i="2"/>
  <c r="A804" i="2"/>
  <c r="C792" i="2"/>
  <c r="A803" i="2"/>
  <c r="C791" i="2"/>
  <c r="A805" i="2"/>
  <c r="C793" i="2"/>
  <c r="A819" i="2" l="1"/>
  <c r="C807" i="2"/>
  <c r="A816" i="2"/>
  <c r="C804" i="2"/>
  <c r="A824" i="2"/>
  <c r="C811" i="2"/>
  <c r="C809" i="2"/>
  <c r="A822" i="2"/>
  <c r="A821" i="2"/>
  <c r="A815" i="2"/>
  <c r="C803" i="2"/>
  <c r="A820" i="2"/>
  <c r="C808" i="2"/>
  <c r="A825" i="2"/>
  <c r="C813" i="2"/>
  <c r="A817" i="2"/>
  <c r="C805" i="2"/>
  <c r="A826" i="2"/>
  <c r="C814" i="2"/>
  <c r="A818" i="2"/>
  <c r="C806" i="2"/>
  <c r="A823" i="2"/>
  <c r="C810" i="2"/>
  <c r="A835" i="2" l="1"/>
  <c r="C823" i="2"/>
  <c r="A827" i="2"/>
  <c r="C815" i="2"/>
  <c r="A833" i="2"/>
  <c r="C821" i="2"/>
  <c r="A830" i="2"/>
  <c r="C818" i="2"/>
  <c r="A834" i="2"/>
  <c r="C822" i="2"/>
  <c r="A838" i="2"/>
  <c r="C826" i="2"/>
  <c r="A829" i="2"/>
  <c r="C817" i="2"/>
  <c r="A836" i="2"/>
  <c r="C824" i="2"/>
  <c r="A837" i="2"/>
  <c r="C825" i="2"/>
  <c r="A828" i="2"/>
  <c r="C816" i="2"/>
  <c r="A832" i="2"/>
  <c r="C820" i="2"/>
  <c r="A831" i="2"/>
  <c r="C819" i="2"/>
  <c r="A843" i="2" l="1"/>
  <c r="C831" i="2"/>
  <c r="A850" i="2"/>
  <c r="C838" i="2"/>
  <c r="A846" i="2"/>
  <c r="C834" i="2"/>
  <c r="A840" i="2"/>
  <c r="C828" i="2"/>
  <c r="A842" i="2"/>
  <c r="C830" i="2"/>
  <c r="A849" i="2"/>
  <c r="C837" i="2"/>
  <c r="A845" i="2"/>
  <c r="C833" i="2"/>
  <c r="A848" i="2"/>
  <c r="C836" i="2"/>
  <c r="A839" i="2"/>
  <c r="C827" i="2"/>
  <c r="A844" i="2"/>
  <c r="C832" i="2"/>
  <c r="A841" i="2"/>
  <c r="C829" i="2"/>
  <c r="A847" i="2"/>
  <c r="C835" i="2"/>
  <c r="C850" i="2" l="1"/>
  <c r="A862" i="2"/>
  <c r="C862" i="2" s="1"/>
  <c r="C849" i="2"/>
  <c r="A861" i="2"/>
  <c r="C861" i="2" s="1"/>
  <c r="A853" i="2"/>
  <c r="C841" i="2"/>
  <c r="A854" i="2"/>
  <c r="C842" i="2"/>
  <c r="A852" i="2"/>
  <c r="C840" i="2"/>
  <c r="A858" i="2"/>
  <c r="C846" i="2"/>
  <c r="A859" i="2"/>
  <c r="C847" i="2"/>
  <c r="A856" i="2"/>
  <c r="C844" i="2"/>
  <c r="A851" i="2"/>
  <c r="C839" i="2"/>
  <c r="A860" i="2"/>
  <c r="C848" i="2"/>
  <c r="A857" i="2"/>
  <c r="C845" i="2"/>
  <c r="A855" i="2"/>
  <c r="C843" i="2"/>
  <c r="C857" i="2" l="1"/>
  <c r="A869" i="2"/>
  <c r="C869" i="2" s="1"/>
  <c r="C860" i="2"/>
  <c r="A872" i="2"/>
  <c r="C872" i="2" s="1"/>
  <c r="C854" i="2"/>
  <c r="A866" i="2"/>
  <c r="C866" i="2" s="1"/>
  <c r="C853" i="2"/>
  <c r="A865" i="2"/>
  <c r="C865" i="2" s="1"/>
  <c r="C855" i="2"/>
  <c r="A867" i="2"/>
  <c r="C867" i="2" s="1"/>
  <c r="C852" i="2"/>
  <c r="A864" i="2"/>
  <c r="C864" i="2" s="1"/>
  <c r="C859" i="2"/>
  <c r="A871" i="2"/>
  <c r="C871" i="2" s="1"/>
  <c r="C858" i="2"/>
  <c r="A870" i="2"/>
  <c r="C870" i="2" s="1"/>
  <c r="C851" i="2"/>
  <c r="A863" i="2"/>
  <c r="C863" i="2" s="1"/>
  <c r="C856" i="2"/>
  <c r="A868" i="2"/>
  <c r="C86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Freddy Roa</author>
  </authors>
  <commentList>
    <comment ref="J11" authorId="0" shapeId="0" xr:uid="{5E21C247-BBFE-4447-8EF4-D8FE08F11DFA}">
      <text>
        <r>
          <rPr>
            <b/>
            <sz val="9"/>
            <color indexed="81"/>
            <rFont val="Tahoma"/>
            <family val="2"/>
          </rPr>
          <t>=BUSCARV(AÑO(F10),tc!$A$2:$D$81,4,0)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<sst xmlns="http://schemas.openxmlformats.org/spreadsheetml/2006/main" count="1106" uniqueCount="178">
  <si>
    <t>Año</t>
  </si>
  <si>
    <t>Mes</t>
  </si>
  <si>
    <t>Variación mensual (%)</t>
  </si>
  <si>
    <t>Variación año corrido (%)</t>
  </si>
  <si>
    <t>Variación anual (%)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</si>
  <si>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</si>
  <si>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</si>
  <si>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</si>
  <si>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</si>
  <si>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</si>
  <si>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</si>
  <si>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</si>
  <si>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</si>
  <si>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</si>
  <si>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</si>
  <si>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</si>
  <si>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</si>
  <si>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Concatenado</t>
  </si>
  <si>
    <t>Fecha IPC Inicial</t>
  </si>
  <si>
    <t>Fecha IPC Final</t>
  </si>
  <si>
    <t>AÑO EN EL QUE SE LIQUIDARA</t>
  </si>
  <si>
    <t>CEDULA</t>
  </si>
  <si>
    <t>mes</t>
  </si>
  <si>
    <t>AÑO</t>
  </si>
  <si>
    <t>SMLV</t>
  </si>
  <si>
    <t>AUX TRANSPORTE</t>
  </si>
  <si>
    <t>SALARIO BASE</t>
  </si>
  <si>
    <t>CLIENTE</t>
  </si>
  <si>
    <t>FECHA DE NACIMIENTO</t>
  </si>
  <si>
    <t>[1]Identificación Aportante</t>
  </si>
  <si>
    <t>[2]Nombre o Razón Social</t>
  </si>
  <si>
    <t>[3]Desde</t>
  </si>
  <si>
    <t>[4]Hasta</t>
  </si>
  <si>
    <t>[6]Semanas</t>
  </si>
  <si>
    <t>[7] No. Dias</t>
  </si>
  <si>
    <t>[8] Porcentaje de cotizaciòn</t>
  </si>
  <si>
    <t xml:space="preserve"> - </t>
  </si>
  <si>
    <t xml:space="preserve"> D.3781/49 </t>
  </si>
  <si>
    <t xml:space="preserve"> D.2214/56 </t>
  </si>
  <si>
    <t xml:space="preserve"> D.1090/60 </t>
  </si>
  <si>
    <t xml:space="preserve"> D.2834/61 </t>
  </si>
  <si>
    <t xml:space="preserve"> D.236 Y 240/53 </t>
  </si>
  <si>
    <t xml:space="preserve"> D.1233/69 </t>
  </si>
  <si>
    <t xml:space="preserve"> D.577/72 </t>
  </si>
  <si>
    <t xml:space="preserve"> D.2394/74 </t>
  </si>
  <si>
    <t xml:space="preserve"> D.1623/76 </t>
  </si>
  <si>
    <t xml:space="preserve"> D.2371/77 </t>
  </si>
  <si>
    <t xml:space="preserve"> D.2381/78 </t>
  </si>
  <si>
    <t xml:space="preserve"> D.3189/79 </t>
  </si>
  <si>
    <t xml:space="preserve"> D.3463/80 </t>
  </si>
  <si>
    <t xml:space="preserve"> D.3687/81 </t>
  </si>
  <si>
    <t xml:space="preserve"> D.3713/82 </t>
  </si>
  <si>
    <t xml:space="preserve"> D.3506/83 </t>
  </si>
  <si>
    <t xml:space="preserve"> D.0001/85 </t>
  </si>
  <si>
    <t xml:space="preserve"> D.3754/85 </t>
  </si>
  <si>
    <t xml:space="preserve"> D.3732/86 </t>
  </si>
  <si>
    <t xml:space="preserve"> D.2545/87 </t>
  </si>
  <si>
    <t xml:space="preserve"> D.2662/88 </t>
  </si>
  <si>
    <t xml:space="preserve"> D.3000/89 </t>
  </si>
  <si>
    <t xml:space="preserve"> D.3074/90 </t>
  </si>
  <si>
    <t xml:space="preserve"> D.2867/91 </t>
  </si>
  <si>
    <t xml:space="preserve"> D.2061/92 </t>
  </si>
  <si>
    <t xml:space="preserve"> D.2548/93 </t>
  </si>
  <si>
    <t xml:space="preserve"> D.2872/94 </t>
  </si>
  <si>
    <t xml:space="preserve"> D.2310/95 </t>
  </si>
  <si>
    <t xml:space="preserve"> D.2334/96 </t>
  </si>
  <si>
    <t xml:space="preserve"> D.3106/97 </t>
  </si>
  <si>
    <t xml:space="preserve"> D.2560/98 </t>
  </si>
  <si>
    <t xml:space="preserve"> D.2647/99 </t>
  </si>
  <si>
    <t xml:space="preserve"> D.2579/00 </t>
  </si>
  <si>
    <t xml:space="preserve"> D.2910/01 </t>
  </si>
  <si>
    <t xml:space="preserve"> D.3232/02 </t>
  </si>
  <si>
    <t xml:space="preserve"> D.3770/03 </t>
  </si>
  <si>
    <t xml:space="preserve"> D.4360/04 </t>
  </si>
  <si>
    <t xml:space="preserve"> D.4686/05 </t>
  </si>
  <si>
    <t xml:space="preserve"> D.4580/06 </t>
  </si>
  <si>
    <t xml:space="preserve"> D.4965/07 </t>
  </si>
  <si>
    <t xml:space="preserve"> D.4868/08 </t>
  </si>
  <si>
    <t xml:space="preserve"> D.5053/09 </t>
  </si>
  <si>
    <t xml:space="preserve"> D.0033/11 </t>
  </si>
  <si>
    <t xml:space="preserve"> D.4919/11 </t>
  </si>
  <si>
    <t xml:space="preserve"> D.2738/12 </t>
  </si>
  <si>
    <t xml:space="preserve"> D.3068/13 </t>
  </si>
  <si>
    <t>NORMA smlv</t>
  </si>
  <si>
    <t>Norma Aux. Tpte</t>
  </si>
  <si>
    <t xml:space="preserve"> D.3409/81 </t>
  </si>
  <si>
    <t xml:space="preserve"> D.3726/82 </t>
  </si>
  <si>
    <t xml:space="preserve"> D.3582/83 </t>
  </si>
  <si>
    <t xml:space="preserve"> D.2721/84 </t>
  </si>
  <si>
    <t xml:space="preserve"> D.3887/85 </t>
  </si>
  <si>
    <t xml:space="preserve"> D.2453/86 </t>
  </si>
  <si>
    <t xml:space="preserve"> D.0024/87 </t>
  </si>
  <si>
    <t xml:space="preserve"> D.0061/88 </t>
  </si>
  <si>
    <t xml:space="preserve"> D.0105/89 </t>
  </si>
  <si>
    <t xml:space="preserve"> D.0045/90 </t>
  </si>
  <si>
    <t xml:space="preserve"> D.0077/91 </t>
  </si>
  <si>
    <t xml:space="preserve"> D.0183/92 </t>
  </si>
  <si>
    <t xml:space="preserve"> D.2107/92 </t>
  </si>
  <si>
    <t xml:space="preserve"> D.2873/94 </t>
  </si>
  <si>
    <t xml:space="preserve"> D.2335/96 </t>
  </si>
  <si>
    <t xml:space="preserve"> D.3103/97 </t>
  </si>
  <si>
    <t xml:space="preserve"> D.2658/98 </t>
  </si>
  <si>
    <t xml:space="preserve"> D.2579/99 </t>
  </si>
  <si>
    <t xml:space="preserve"> D.2580/00 </t>
  </si>
  <si>
    <t xml:space="preserve"> D.2909/01 </t>
  </si>
  <si>
    <t xml:space="preserve"> D.3233/02 </t>
  </si>
  <si>
    <t xml:space="preserve"> D.3771/03 </t>
  </si>
  <si>
    <t xml:space="preserve"> D.4361/04 </t>
  </si>
  <si>
    <t xml:space="preserve"> D.4726/05 </t>
  </si>
  <si>
    <t xml:space="preserve"> D.4581/06 </t>
  </si>
  <si>
    <t xml:space="preserve"> D.4966/07 </t>
  </si>
  <si>
    <t xml:space="preserve"> D.4869/08 </t>
  </si>
  <si>
    <t xml:space="preserve"> D.5054/09 </t>
  </si>
  <si>
    <t xml:space="preserve"> D.4835/10 </t>
  </si>
  <si>
    <t xml:space="preserve"> D.4963/11 </t>
  </si>
  <si>
    <t xml:space="preserve"> D.2739/12 </t>
  </si>
  <si>
    <t xml:space="preserve"> D.3069/13 </t>
  </si>
  <si>
    <t>-</t>
  </si>
  <si>
    <t>1572 de dic 24 de 2024</t>
  </si>
  <si>
    <t>2292 de dic 29 2023</t>
  </si>
  <si>
    <t>2623 de dic 28 2022</t>
  </si>
  <si>
    <t>1724 de dic 15 de 2021</t>
  </si>
  <si>
    <t>1786 de dic 29 de 2020</t>
  </si>
  <si>
    <t>2360 de dic 26 de 2019</t>
  </si>
  <si>
    <t>Decreto 0159 del 19 de febrero de 2026</t>
  </si>
  <si>
    <t>IPC BASE 2018=100 EMPALMADA</t>
  </si>
  <si>
    <r>
      <rPr>
        <b/>
        <u/>
        <sz val="8"/>
        <rFont val="Calibri"/>
        <family val="2"/>
        <scheme val="minor"/>
      </rPr>
      <t xml:space="preserve">FUENTE: </t>
    </r>
    <r>
      <rPr>
        <b/>
        <u/>
        <sz val="8"/>
        <color rgb="FF0000FF"/>
        <rFont val="Calibri"/>
        <family val="2"/>
        <scheme val="minor"/>
      </rPr>
      <t>http://www.banrep.gov.co/es/ipchttps://suameca.banrep.gov.co/estadisticas-economicas/tablasPreconstruidas</t>
    </r>
  </si>
  <si>
    <t>[5]Salario (IBC)</t>
  </si>
  <si>
    <t>MES FINAL EN EL QUE SE LIQUIDARA</t>
  </si>
  <si>
    <r>
      <rPr>
        <b/>
        <sz val="10"/>
        <color rgb="FF0070C0"/>
        <rFont val="Calibri"/>
        <family val="2"/>
        <scheme val="minor"/>
      </rPr>
      <t>SBC:</t>
    </r>
    <r>
      <rPr>
        <b/>
        <sz val="10"/>
        <color theme="1"/>
        <rFont val="Calibri"/>
        <family val="2"/>
        <scheme val="minor"/>
      </rPr>
      <t xml:space="preserve"> SALARIO BASE DE COTIZACION SEMANAL</t>
    </r>
  </si>
  <si>
    <r>
      <rPr>
        <b/>
        <sz val="10"/>
        <color rgb="FF0070C0"/>
        <rFont val="Calibri"/>
        <family val="2"/>
        <scheme val="minor"/>
      </rPr>
      <t xml:space="preserve">SC: </t>
    </r>
    <r>
      <rPr>
        <b/>
        <sz val="10"/>
        <color theme="1"/>
        <rFont val="Calibri"/>
        <family val="2"/>
        <scheme val="minor"/>
      </rPr>
      <t>SEMANAS COTIZADAS</t>
    </r>
  </si>
  <si>
    <r>
      <rPr>
        <b/>
        <sz val="10"/>
        <color rgb="FF0070C0"/>
        <rFont val="Calibri"/>
        <family val="2"/>
        <scheme val="minor"/>
      </rPr>
      <t>PPC</t>
    </r>
    <r>
      <rPr>
        <b/>
        <sz val="10"/>
        <color theme="1"/>
        <rFont val="Calibri"/>
        <family val="2"/>
        <scheme val="minor"/>
      </rPr>
      <t>: PORCENTAJES PONDERADO DE PORCENTAJES DE COTIZACION</t>
    </r>
  </si>
  <si>
    <r>
      <rPr>
        <b/>
        <sz val="10"/>
        <color rgb="FF0070C0"/>
        <rFont val="Calibri"/>
        <family val="2"/>
        <scheme val="minor"/>
      </rPr>
      <t>ISP:</t>
    </r>
    <r>
      <rPr>
        <b/>
        <sz val="10"/>
        <color theme="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INDEMNIZACION SUSTITUTIVA DE PESNIÓN</t>
    </r>
  </si>
  <si>
    <t>ISP = SBC   x   SC   x   PPC</t>
  </si>
  <si>
    <t>[9] IPC final</t>
  </si>
  <si>
    <t>[10] IPC inicial</t>
  </si>
  <si>
    <t>[11] IBC Indexado
[5]x[9]/[10]</t>
  </si>
  <si>
    <t>PERIODO</t>
  </si>
  <si>
    <t>%</t>
  </si>
  <si>
    <t>JUAN FELIPE DIEZ CASTAÑO</t>
  </si>
  <si>
    <t>Periodo</t>
  </si>
  <si>
    <t>Entidad / Marco Legal</t>
  </si>
  <si>
    <t>% Aporte Total IVM</t>
  </si>
  <si>
    <t>% para Cálculo PPC</t>
  </si>
  <si>
    <t>Notas Técnicas de Colpensiones</t>
  </si>
  <si>
    <t>1946 - 1966</t>
  </si>
  <si>
    <t>Cajas Públicas / Ley 90/46</t>
  </si>
  <si>
    <t>5.0% - 10.0%</t>
  </si>
  <si>
    <t>Se aplica el factor de proporcionalidad del 45.45% sobre el descuento global de la época [cite: 8, 26, 177].</t>
  </si>
  <si>
    <t>1967 - 1984</t>
  </si>
  <si>
    <t>ISS (Acuerdo 224/66)</t>
  </si>
  <si>
    <t>4.5% - 6.0%</t>
  </si>
  <si>
    <t>El aporte estatal del 1.5% a menudo no se dio; Colpensiones liquida sobre el porcentaje efectivamente cotizado [cite: 17, 117].</t>
  </si>
  <si>
    <t>1985 - 1993</t>
  </si>
  <si>
    <t>ISS (Acuerdo 049/90)</t>
  </si>
  <si>
    <t>Tasa estable previa a la Ley 100 [cite: 117, 120].</t>
  </si>
  <si>
    <t>1994 (Abr - Dic)</t>
  </si>
  <si>
    <t>Ley 100 / Art. 20</t>
  </si>
  <si>
    <t>Incluye 8% de pensión y 3.5% de administración/seguros [cite: 7, 47].</t>
  </si>
  <si>
    <t>Incluye 9% de pensión y 3.5% de administración/seguros [cite: 7, 47].</t>
  </si>
  <si>
    <t>1996 - 2002</t>
  </si>
  <si>
    <t>Incluye 10% de pensión y 3.5% de administración/seguros [cite: 7, 47].</t>
  </si>
  <si>
    <t>Ley 797 / Art. 7</t>
  </si>
  <si>
    <t>Tasa plena unificada por reforma pensional [cite: 7, 18, 47].</t>
  </si>
  <si>
    <t>Incremento de 1 punto porcentual [cite: 7, 47].</t>
  </si>
  <si>
    <t>Incremento de 0.5 puntos porcentuales [cite: 7, 47].</t>
  </si>
  <si>
    <t>2006 - 2007</t>
  </si>
  <si>
    <t>2008 - 2024</t>
  </si>
  <si>
    <t>Tasa vigente actual. Incluye administración y seguros [cite: 7, 19, 47].</t>
  </si>
  <si>
    <t>2025 - 2026</t>
  </si>
  <si>
    <t>Ley 2381 de 2024</t>
  </si>
  <si>
    <t>Se mantiene la tasa total de aporte en el nuevo sistema de pilares [cite: 25, 27, 132].</t>
  </si>
  <si>
    <t>https://www.youtube.com/watch?v=23zZ0nepItg</t>
  </si>
  <si>
    <t>https://www.youtube.com/watch?v=GxGDTbKxTc0</t>
  </si>
  <si>
    <t>IA</t>
  </si>
  <si>
    <t>CLARIDAD SAS</t>
  </si>
  <si>
    <t>SUPENSION PLUS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</si>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</sst>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_-&quot;$&quot;* #,##0_-;\-&quot;$&quot;* #,##0_-;_-&quot;$&quot;* &quot;-&quot;??_-;_-@_-"/>
    <numFmt numFmtId="166" formatCode="0.00000"/>
    <numFmt numFmtId="167" formatCode="_ * #,##0.00_ ;_ * \-#,##0.00_ ;_ * &quot;-&quot;??_ ;_ @_ "/>
    <numFmt numFmtId="168" formatCode="_ &quot;$&quot;\ * #,##0.00_ ;_ &quot;$&quot;\ * \-#,##0.00_ ;_ &quot;$&quot;\ * &quot;-&quot;??_ ;_ @_ "/>
    <numFmt numFmtId="169" formatCode="0.000%"/>
    <numFmt numFmtId="170" formatCode="_(* #,##0_);_(* \(#,##0\);_(* &quot;-&quot;??_);_(@_)"/>
    <numFmt numFmtId="171" formatCode="dd\.mm\.yyyy;@"/>
    <numFmt numFmtId="172" formatCode="#,##0\ _€"/>
    <numFmt numFmtId="173" formatCode="#,##0.00\ _€"/>
    <numFmt numFmtId="174" formatCode="#,##0.000\ _€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u/>
      <sz val="8"/>
      <color rgb="FF0000FF"/>
      <name val="Calibri"/>
      <family val="2"/>
      <scheme val="minor"/>
    </font>
    <font>
      <b/>
      <u/>
      <sz val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Arial"/>
      <family val="2"/>
    </font>
    <font>
      <b/>
      <sz val="10"/>
      <color rgb="FF0070C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Aptos"/>
      <family val="2"/>
    </font>
    <font>
      <b/>
      <sz val="10"/>
      <color rgb="FF7030A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 style="medium">
        <color rgb="FFBBBBBB"/>
      </left>
      <right/>
      <top style="thin">
        <color rgb="FF000000"/>
      </top>
      <bottom style="medium">
        <color rgb="FFBBBBBB"/>
      </bottom>
      <diagonal/>
    </border>
    <border>
      <left style="medium">
        <color rgb="FFBBBBBB"/>
      </left>
      <right style="thin">
        <color rgb="FF000000"/>
      </right>
      <top style="thin">
        <color rgb="FF000000"/>
      </top>
      <bottom style="medium">
        <color rgb="FFBBBBBB"/>
      </bottom>
      <diagonal/>
    </border>
    <border>
      <left style="thin">
        <color rgb="FF000000"/>
      </left>
      <right style="medium">
        <color rgb="FFCCCCCC"/>
      </right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medium">
        <color rgb="FFCCCCCC"/>
      </right>
      <top style="thin">
        <color rgb="FFCCCCCC"/>
      </top>
      <bottom/>
      <diagonal/>
    </border>
    <border>
      <left style="thin">
        <color rgb="FF000000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3">
    <xf numFmtId="0" fontId="0" fillId="0" borderId="0" xfId="0"/>
    <xf numFmtId="0" fontId="20" fillId="0" borderId="0" xfId="0" applyFont="1"/>
    <xf numFmtId="0" fontId="21" fillId="33" borderId="19" xfId="0" applyFont="1" applyFill="1" applyBorder="1" applyAlignment="1">
      <alignment vertical="center" wrapText="1"/>
    </xf>
    <xf numFmtId="0" fontId="21" fillId="33" borderId="10" xfId="0" applyFont="1" applyFill="1" applyBorder="1" applyAlignment="1">
      <alignment horizontal="left" vertical="center" wrapText="1"/>
    </xf>
    <xf numFmtId="0" fontId="20" fillId="33" borderId="11" xfId="0" applyFont="1" applyFill="1" applyBorder="1" applyAlignment="1">
      <alignment horizontal="right" wrapText="1"/>
    </xf>
    <xf numFmtId="0" fontId="20" fillId="33" borderId="17" xfId="0" applyFont="1" applyFill="1" applyBorder="1" applyAlignment="1">
      <alignment horizontal="right" wrapText="1"/>
    </xf>
    <xf numFmtId="0" fontId="21" fillId="33" borderId="16" xfId="0" applyFont="1" applyFill="1" applyBorder="1" applyAlignment="1">
      <alignment vertical="center" wrapText="1"/>
    </xf>
    <xf numFmtId="10" fontId="20" fillId="33" borderId="11" xfId="0" applyNumberFormat="1" applyFont="1" applyFill="1" applyBorder="1" applyAlignment="1">
      <alignment horizontal="right" wrapText="1"/>
    </xf>
    <xf numFmtId="0" fontId="21" fillId="33" borderId="18" xfId="0" applyFont="1" applyFill="1" applyBorder="1" applyAlignment="1">
      <alignment vertical="center" wrapText="1"/>
    </xf>
    <xf numFmtId="0" fontId="21" fillId="34" borderId="20" xfId="0" applyFont="1" applyFill="1" applyBorder="1" applyAlignment="1">
      <alignment vertical="center" wrapText="1"/>
    </xf>
    <xf numFmtId="0" fontId="21" fillId="34" borderId="10" xfId="0" applyFont="1" applyFill="1" applyBorder="1" applyAlignment="1">
      <alignment horizontal="left" vertical="center" wrapText="1"/>
    </xf>
    <xf numFmtId="10" fontId="20" fillId="34" borderId="11" xfId="0" applyNumberFormat="1" applyFont="1" applyFill="1" applyBorder="1" applyAlignment="1">
      <alignment horizontal="right" wrapText="1"/>
    </xf>
    <xf numFmtId="0" fontId="20" fillId="34" borderId="17" xfId="0" applyFont="1" applyFill="1" applyBorder="1" applyAlignment="1">
      <alignment horizontal="right" wrapText="1"/>
    </xf>
    <xf numFmtId="0" fontId="21" fillId="34" borderId="16" xfId="0" applyFont="1" applyFill="1" applyBorder="1" applyAlignment="1">
      <alignment vertical="center" wrapText="1"/>
    </xf>
    <xf numFmtId="10" fontId="20" fillId="34" borderId="17" xfId="0" applyNumberFormat="1" applyFont="1" applyFill="1" applyBorder="1" applyAlignment="1">
      <alignment horizontal="right" wrapText="1"/>
    </xf>
    <xf numFmtId="0" fontId="21" fillId="34" borderId="18" xfId="0" applyFont="1" applyFill="1" applyBorder="1" applyAlignment="1">
      <alignment vertical="center" wrapText="1"/>
    </xf>
    <xf numFmtId="0" fontId="21" fillId="33" borderId="20" xfId="0" applyFont="1" applyFill="1" applyBorder="1" applyAlignment="1">
      <alignment vertical="center" wrapText="1"/>
    </xf>
    <xf numFmtId="10" fontId="20" fillId="33" borderId="17" xfId="0" applyNumberFormat="1" applyFont="1" applyFill="1" applyBorder="1" applyAlignment="1">
      <alignment horizontal="right" wrapText="1"/>
    </xf>
    <xf numFmtId="0" fontId="0" fillId="0" borderId="0" xfId="0" applyAlignment="1">
      <alignment horizontal="center"/>
    </xf>
    <xf numFmtId="166" fontId="20" fillId="34" borderId="11" xfId="0" applyNumberFormat="1" applyFont="1" applyFill="1" applyBorder="1" applyAlignment="1">
      <alignment horizontal="right" wrapText="1"/>
    </xf>
    <xf numFmtId="166" fontId="20" fillId="33" borderId="11" xfId="0" applyNumberFormat="1" applyFont="1" applyFill="1" applyBorder="1" applyAlignment="1">
      <alignment horizontal="right" wrapText="1"/>
    </xf>
    <xf numFmtId="42" fontId="0" fillId="0" borderId="0" xfId="47" applyFont="1"/>
    <xf numFmtId="169" fontId="0" fillId="0" borderId="0" xfId="0" applyNumberFormat="1"/>
    <xf numFmtId="0" fontId="17" fillId="25" borderId="12" xfId="35" applyBorder="1" applyAlignment="1">
      <alignment wrapText="1"/>
    </xf>
    <xf numFmtId="0" fontId="17" fillId="25" borderId="13" xfId="35" applyBorder="1" applyAlignment="1">
      <alignment wrapText="1"/>
    </xf>
    <xf numFmtId="0" fontId="17" fillId="25" borderId="14" xfId="35" applyBorder="1" applyAlignment="1">
      <alignment horizontal="center" vertical="center" wrapText="1"/>
    </xf>
    <xf numFmtId="0" fontId="17" fillId="25" borderId="15" xfId="35" applyBorder="1" applyAlignment="1">
      <alignment horizontal="center" vertical="center" wrapText="1"/>
    </xf>
    <xf numFmtId="0" fontId="25" fillId="0" borderId="0" xfId="43" applyFont="1"/>
    <xf numFmtId="0" fontId="27" fillId="0" borderId="0" xfId="35" applyFont="1" applyFill="1" applyBorder="1"/>
    <xf numFmtId="42" fontId="27" fillId="0" borderId="0" xfId="35" applyNumberFormat="1" applyFont="1" applyFill="1" applyBorder="1"/>
    <xf numFmtId="0" fontId="27" fillId="0" borderId="0" xfId="0" applyFont="1"/>
    <xf numFmtId="42" fontId="27" fillId="0" borderId="0" xfId="47" applyFont="1" applyFill="1"/>
    <xf numFmtId="0" fontId="17" fillId="25" borderId="29" xfId="35" applyBorder="1" applyAlignment="1">
      <alignment horizontal="center"/>
    </xf>
    <xf numFmtId="42" fontId="17" fillId="25" borderId="29" xfId="35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41" fontId="27" fillId="0" borderId="0" xfId="46" applyFont="1" applyFill="1"/>
    <xf numFmtId="42" fontId="17" fillId="25" borderId="32" xfId="35" applyNumberFormat="1" applyBorder="1" applyAlignment="1">
      <alignment horizontal="center"/>
    </xf>
    <xf numFmtId="0" fontId="29" fillId="0" borderId="0" xfId="0" applyFont="1"/>
    <xf numFmtId="0" fontId="21" fillId="38" borderId="18" xfId="0" applyFont="1" applyFill="1" applyBorder="1" applyAlignment="1">
      <alignment vertical="center" wrapText="1"/>
    </xf>
    <xf numFmtId="0" fontId="21" fillId="38" borderId="10" xfId="0" applyFont="1" applyFill="1" applyBorder="1" applyAlignment="1">
      <alignment horizontal="left" vertical="center" wrapText="1"/>
    </xf>
    <xf numFmtId="166" fontId="20" fillId="38" borderId="11" xfId="0" applyNumberFormat="1" applyFont="1" applyFill="1" applyBorder="1" applyAlignment="1">
      <alignment horizontal="right" wrapText="1"/>
    </xf>
    <xf numFmtId="10" fontId="20" fillId="38" borderId="11" xfId="0" applyNumberFormat="1" applyFont="1" applyFill="1" applyBorder="1" applyAlignment="1">
      <alignment horizontal="right" wrapText="1"/>
    </xf>
    <xf numFmtId="10" fontId="20" fillId="38" borderId="17" xfId="0" applyNumberFormat="1" applyFont="1" applyFill="1" applyBorder="1" applyAlignment="1">
      <alignment horizontal="right" wrapText="1"/>
    </xf>
    <xf numFmtId="0" fontId="20" fillId="38" borderId="0" xfId="0" applyFont="1" applyFill="1"/>
    <xf numFmtId="0" fontId="17" fillId="25" borderId="33" xfId="35" applyBorder="1" applyAlignment="1">
      <alignment wrapText="1"/>
    </xf>
    <xf numFmtId="41" fontId="32" fillId="39" borderId="21" xfId="46" applyFont="1" applyFill="1" applyBorder="1" applyAlignment="1">
      <alignment horizontal="center" vertical="center" wrapText="1"/>
    </xf>
    <xf numFmtId="171" fontId="32" fillId="39" borderId="21" xfId="46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/>
    <xf numFmtId="41" fontId="34" fillId="35" borderId="27" xfId="46" applyFont="1" applyFill="1" applyBorder="1" applyAlignment="1">
      <alignment horizontal="right"/>
    </xf>
    <xf numFmtId="41" fontId="31" fillId="35" borderId="28" xfId="46" applyFont="1" applyFill="1" applyBorder="1" applyAlignment="1">
      <alignment horizontal="right"/>
    </xf>
    <xf numFmtId="41" fontId="31" fillId="35" borderId="0" xfId="46" applyFont="1" applyFill="1" applyBorder="1" applyAlignment="1">
      <alignment horizontal="right"/>
    </xf>
    <xf numFmtId="171" fontId="33" fillId="35" borderId="0" xfId="0" applyNumberFormat="1" applyFont="1" applyFill="1"/>
    <xf numFmtId="0" fontId="33" fillId="35" borderId="0" xfId="0" applyFont="1" applyFill="1"/>
    <xf numFmtId="41" fontId="34" fillId="35" borderId="22" xfId="46" applyFont="1" applyFill="1" applyBorder="1" applyAlignment="1">
      <alignment horizontal="right"/>
    </xf>
    <xf numFmtId="41" fontId="31" fillId="35" borderId="23" xfId="46" applyFont="1" applyFill="1" applyBorder="1" applyAlignment="1">
      <alignment horizontal="right"/>
    </xf>
    <xf numFmtId="171" fontId="31" fillId="35" borderId="23" xfId="46" applyNumberFormat="1" applyFont="1" applyFill="1" applyBorder="1" applyAlignment="1">
      <alignment horizontal="right"/>
    </xf>
    <xf numFmtId="171" fontId="31" fillId="35" borderId="0" xfId="46" applyNumberFormat="1" applyFont="1" applyFill="1" applyBorder="1" applyAlignment="1">
      <alignment horizontal="right"/>
    </xf>
    <xf numFmtId="0" fontId="33" fillId="35" borderId="0" xfId="0" applyFont="1" applyFill="1" applyAlignment="1">
      <alignment horizontal="right" vertical="center" wrapText="1"/>
    </xf>
    <xf numFmtId="165" fontId="33" fillId="35" borderId="0" xfId="0" applyNumberFormat="1" applyFont="1" applyFill="1"/>
    <xf numFmtId="41" fontId="34" fillId="35" borderId="24" xfId="46" applyFont="1" applyFill="1" applyBorder="1" applyAlignment="1">
      <alignment horizontal="right"/>
    </xf>
    <xf numFmtId="41" fontId="31" fillId="35" borderId="0" xfId="46" applyFont="1" applyFill="1" applyBorder="1"/>
    <xf numFmtId="164" fontId="33" fillId="35" borderId="0" xfId="53" applyFont="1" applyFill="1"/>
    <xf numFmtId="0" fontId="33" fillId="0" borderId="0" xfId="0" applyFont="1" applyProtection="1">
      <protection locked="0"/>
    </xf>
    <xf numFmtId="171" fontId="33" fillId="0" borderId="0" xfId="0" applyNumberFormat="1" applyFont="1" applyProtection="1">
      <protection locked="0"/>
    </xf>
    <xf numFmtId="172" fontId="33" fillId="0" borderId="0" xfId="53" applyNumberFormat="1" applyFont="1" applyFill="1" applyBorder="1" applyAlignment="1" applyProtection="1">
      <alignment horizontal="right" vertical="center"/>
    </xf>
    <xf numFmtId="173" fontId="33" fillId="0" borderId="0" xfId="53" applyNumberFormat="1" applyFont="1" applyFill="1" applyBorder="1" applyAlignment="1" applyProtection="1">
      <alignment horizontal="right" vertical="center"/>
    </xf>
    <xf numFmtId="10" fontId="31" fillId="6" borderId="0" xfId="12" applyNumberFormat="1" applyFont="1" applyBorder="1" applyProtection="1"/>
    <xf numFmtId="164" fontId="31" fillId="6" borderId="0" xfId="53" applyFont="1" applyFill="1" applyBorder="1" applyProtection="1"/>
    <xf numFmtId="0" fontId="31" fillId="6" borderId="0" xfId="12" applyFont="1" applyBorder="1" applyProtection="1"/>
    <xf numFmtId="165" fontId="31" fillId="6" borderId="0" xfId="12" applyNumberFormat="1" applyFont="1" applyBorder="1" applyProtection="1"/>
    <xf numFmtId="41" fontId="33" fillId="0" borderId="0" xfId="46" applyFont="1" applyBorder="1" applyAlignment="1" applyProtection="1">
      <alignment horizontal="center"/>
      <protection locked="0"/>
    </xf>
    <xf numFmtId="44" fontId="33" fillId="0" borderId="0" xfId="1" applyFont="1" applyBorder="1" applyAlignment="1" applyProtection="1">
      <alignment horizontal="right" vertical="center"/>
      <protection locked="0"/>
    </xf>
    <xf numFmtId="164" fontId="33" fillId="0" borderId="0" xfId="53" applyFont="1" applyBorder="1" applyProtection="1">
      <protection locked="0"/>
    </xf>
    <xf numFmtId="0" fontId="35" fillId="35" borderId="0" xfId="0" applyFont="1" applyFill="1"/>
    <xf numFmtId="170" fontId="35" fillId="35" borderId="0" xfId="53" applyNumberFormat="1" applyFont="1" applyFill="1"/>
    <xf numFmtId="41" fontId="34" fillId="6" borderId="0" xfId="12" applyNumberFormat="1" applyFont="1" applyBorder="1" applyAlignment="1" applyProtection="1">
      <alignment horizontal="right" vertical="center"/>
    </xf>
    <xf numFmtId="0" fontId="35" fillId="0" borderId="0" xfId="0" applyFont="1"/>
    <xf numFmtId="0" fontId="33" fillId="0" borderId="21" xfId="0" applyFont="1" applyBorder="1" applyProtection="1">
      <protection locked="0"/>
    </xf>
    <xf numFmtId="0" fontId="31" fillId="0" borderId="21" xfId="0" applyFont="1" applyBorder="1" applyAlignment="1">
      <alignment vertical="top" wrapText="1"/>
    </xf>
    <xf numFmtId="0" fontId="31" fillId="0" borderId="21" xfId="0" applyFont="1" applyBorder="1" applyAlignment="1">
      <alignment horizontal="right" vertical="top" wrapText="1"/>
    </xf>
    <xf numFmtId="172" fontId="33" fillId="0" borderId="21" xfId="53" applyNumberFormat="1" applyFont="1" applyFill="1" applyBorder="1" applyAlignment="1" applyProtection="1">
      <alignment horizontal="right" vertical="center"/>
    </xf>
    <xf numFmtId="0" fontId="31" fillId="0" borderId="21" xfId="12" applyFont="1" applyFill="1" applyBorder="1" applyProtection="1"/>
    <xf numFmtId="166" fontId="31" fillId="0" borderId="21" xfId="12" applyNumberFormat="1" applyFont="1" applyFill="1" applyBorder="1" applyProtection="1"/>
    <xf numFmtId="165" fontId="31" fillId="0" borderId="21" xfId="12" applyNumberFormat="1" applyFont="1" applyFill="1" applyBorder="1" applyProtection="1"/>
    <xf numFmtId="1" fontId="30" fillId="0" borderId="21" xfId="0" applyNumberFormat="1" applyFont="1" applyBorder="1" applyAlignment="1">
      <alignment vertical="top" shrinkToFit="1"/>
    </xf>
    <xf numFmtId="0" fontId="1" fillId="0" borderId="0" xfId="0" applyFont="1"/>
    <xf numFmtId="41" fontId="34" fillId="35" borderId="34" xfId="46" applyFont="1" applyFill="1" applyBorder="1" applyAlignment="1">
      <alignment horizontal="right"/>
    </xf>
    <xf numFmtId="171" fontId="31" fillId="35" borderId="31" xfId="46" applyNumberFormat="1" applyFont="1" applyFill="1" applyBorder="1" applyAlignment="1">
      <alignment horizontal="right"/>
    </xf>
    <xf numFmtId="1" fontId="31" fillId="35" borderId="25" xfId="53" applyNumberFormat="1" applyFont="1" applyFill="1" applyBorder="1"/>
    <xf numFmtId="165" fontId="35" fillId="35" borderId="0" xfId="1" applyNumberFormat="1" applyFont="1" applyFill="1"/>
    <xf numFmtId="174" fontId="35" fillId="35" borderId="0" xfId="0" applyNumberFormat="1" applyFont="1" applyFill="1" applyAlignment="1">
      <alignment horizontal="right"/>
    </xf>
    <xf numFmtId="169" fontId="35" fillId="0" borderId="0" xfId="45" applyNumberFormat="1" applyFont="1"/>
    <xf numFmtId="0" fontId="32" fillId="36" borderId="30" xfId="0" applyFont="1" applyFill="1" applyBorder="1" applyAlignment="1">
      <alignment horizontal="left" vertical="center" wrapText="1"/>
    </xf>
    <xf numFmtId="14" fontId="32" fillId="36" borderId="30" xfId="0" applyNumberFormat="1" applyFont="1" applyFill="1" applyBorder="1" applyAlignment="1">
      <alignment horizontal="right" vertical="center" wrapText="1"/>
    </xf>
    <xf numFmtId="170" fontId="34" fillId="36" borderId="30" xfId="53" applyNumberFormat="1" applyFont="1" applyFill="1" applyBorder="1"/>
    <xf numFmtId="165" fontId="35" fillId="0" borderId="0" xfId="1" applyNumberFormat="1" applyFont="1"/>
    <xf numFmtId="14" fontId="36" fillId="0" borderId="21" xfId="0" applyNumberFormat="1" applyFont="1" applyBorder="1" applyAlignment="1">
      <alignment horizontal="center" vertical="center"/>
    </xf>
    <xf numFmtId="174" fontId="33" fillId="0" borderId="21" xfId="53" applyNumberFormat="1" applyFont="1" applyFill="1" applyBorder="1" applyAlignment="1" applyProtection="1">
      <alignment horizontal="right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6" fillId="0" borderId="21" xfId="0" applyFont="1" applyBorder="1" applyAlignment="1">
      <alignment horizontal="center"/>
    </xf>
    <xf numFmtId="14" fontId="1" fillId="0" borderId="21" xfId="0" applyNumberFormat="1" applyFont="1" applyBorder="1" applyAlignment="1">
      <alignment horizontal="center"/>
    </xf>
    <xf numFmtId="10" fontId="1" fillId="0" borderId="21" xfId="0" applyNumberFormat="1" applyFont="1" applyBorder="1"/>
    <xf numFmtId="0" fontId="16" fillId="0" borderId="0" xfId="0" applyFont="1" applyAlignment="1">
      <alignment horizontal="center"/>
    </xf>
    <xf numFmtId="10" fontId="1" fillId="0" borderId="0" xfId="0" applyNumberFormat="1" applyFont="1"/>
    <xf numFmtId="9" fontId="1" fillId="0" borderId="21" xfId="0" applyNumberFormat="1" applyFont="1" applyBorder="1"/>
    <xf numFmtId="0" fontId="39" fillId="0" borderId="35" xfId="0" applyFont="1" applyBorder="1" applyAlignment="1">
      <alignment horizontal="left" vertical="center" wrapText="1" indent="1" readingOrder="1"/>
    </xf>
    <xf numFmtId="0" fontId="39" fillId="0" borderId="35" xfId="0" applyFont="1" applyBorder="1" applyAlignment="1">
      <alignment vertical="center" wrapText="1" readingOrder="1"/>
    </xf>
    <xf numFmtId="0" fontId="38" fillId="0" borderId="35" xfId="0" applyFont="1" applyBorder="1" applyAlignment="1">
      <alignment horizontal="left" vertical="center" wrapText="1" indent="1" readingOrder="1"/>
    </xf>
    <xf numFmtId="10" fontId="39" fillId="0" borderId="35" xfId="0" applyNumberFormat="1" applyFont="1" applyBorder="1" applyAlignment="1">
      <alignment horizontal="left" vertical="center" wrapText="1" indent="1" readingOrder="1"/>
    </xf>
    <xf numFmtId="0" fontId="38" fillId="0" borderId="35" xfId="0" applyFont="1" applyBorder="1" applyAlignment="1">
      <alignment vertical="center" wrapText="1" readingOrder="1"/>
    </xf>
    <xf numFmtId="10" fontId="38" fillId="0" borderId="35" xfId="0" applyNumberFormat="1" applyFont="1" applyBorder="1" applyAlignment="1">
      <alignment horizontal="left" vertical="center" wrapText="1" indent="1" readingOrder="1"/>
    </xf>
    <xf numFmtId="0" fontId="40" fillId="0" borderId="0" xfId="0" applyFont="1" applyAlignment="1">
      <alignment vertical="center"/>
    </xf>
    <xf numFmtId="0" fontId="18" fillId="0" borderId="0" xfId="43" applyAlignment="1">
      <alignment vertical="center"/>
    </xf>
    <xf numFmtId="0" fontId="16" fillId="0" borderId="0" xfId="0" applyFont="1"/>
    <xf numFmtId="0" fontId="1" fillId="0" borderId="21" xfId="0" applyFont="1" applyBorder="1"/>
    <xf numFmtId="0" fontId="1" fillId="36" borderId="21" xfId="0" applyFont="1" applyFill="1" applyBorder="1"/>
    <xf numFmtId="10" fontId="1" fillId="36" borderId="21" xfId="0" applyNumberFormat="1" applyFont="1" applyFill="1" applyBorder="1"/>
    <xf numFmtId="10" fontId="0" fillId="36" borderId="21" xfId="0" applyNumberFormat="1" applyFill="1" applyBorder="1"/>
    <xf numFmtId="0" fontId="0" fillId="0" borderId="21" xfId="0" applyBorder="1"/>
    <xf numFmtId="9" fontId="1" fillId="40" borderId="21" xfId="0" applyNumberFormat="1" applyFont="1" applyFill="1" applyBorder="1"/>
    <xf numFmtId="10" fontId="1" fillId="40" borderId="21" xfId="0" applyNumberFormat="1" applyFont="1" applyFill="1" applyBorder="1"/>
    <xf numFmtId="10" fontId="0" fillId="41" borderId="21" xfId="0" applyNumberFormat="1" applyFill="1" applyBorder="1"/>
    <xf numFmtId="10" fontId="1" fillId="41" borderId="21" xfId="0" applyNumberFormat="1" applyFont="1" applyFill="1" applyBorder="1"/>
    <xf numFmtId="10" fontId="1" fillId="41" borderId="0" xfId="0" applyNumberFormat="1" applyFont="1" applyFill="1"/>
    <xf numFmtId="10" fontId="1" fillId="42" borderId="21" xfId="0" applyNumberFormat="1" applyFont="1" applyFill="1" applyBorder="1"/>
    <xf numFmtId="9" fontId="1" fillId="42" borderId="21" xfId="0" applyNumberFormat="1" applyFont="1" applyFill="1" applyBorder="1"/>
    <xf numFmtId="173" fontId="41" fillId="0" borderId="21" xfId="53" applyNumberFormat="1" applyFont="1" applyFill="1" applyBorder="1" applyAlignment="1" applyProtection="1">
      <alignment horizontal="right" vertical="center"/>
    </xf>
    <xf numFmtId="10" fontId="41" fillId="0" borderId="21" xfId="12" applyNumberFormat="1" applyFont="1" applyFill="1" applyBorder="1" applyProtection="1"/>
    <xf numFmtId="171" fontId="32" fillId="37" borderId="2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8" fillId="0" borderId="21" xfId="43" applyBorder="1" applyAlignment="1">
      <alignment horizontal="center"/>
    </xf>
  </cellXfs>
  <cellStyles count="54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3" builtinId="8" customBuiltin="1"/>
    <cellStyle name="Hipervínculo visitado" xfId="44" builtinId="9" customBuiltin="1"/>
    <cellStyle name="Incorrecto" xfId="8" builtinId="27" customBuiltin="1"/>
    <cellStyle name="Millares" xfId="53" builtinId="3"/>
    <cellStyle name="Millares [0]" xfId="46" builtinId="6"/>
    <cellStyle name="Millares 2" xfId="49" xr:uid="{00000000-0005-0000-0000-000024000000}"/>
    <cellStyle name="Moneda" xfId="1" builtinId="4"/>
    <cellStyle name="Moneda [0]" xfId="47" builtinId="7"/>
    <cellStyle name="Moneda 2" xfId="50" xr:uid="{00000000-0005-0000-0000-000027000000}"/>
    <cellStyle name="Neutral" xfId="9" builtinId="28" customBuiltin="1"/>
    <cellStyle name="Normal" xfId="0" builtinId="0"/>
    <cellStyle name="Normal 2" xfId="48" xr:uid="{00000000-0005-0000-0000-00002A000000}"/>
    <cellStyle name="Notas" xfId="16" builtinId="10" customBuiltin="1"/>
    <cellStyle name="Porcentaje" xfId="45" builtinId="5"/>
    <cellStyle name="Porcentaje 2" xfId="52" xr:uid="{00000000-0005-0000-0000-00002E000000}"/>
    <cellStyle name="Porcentual 2" xfId="51" xr:uid="{00000000-0005-0000-0000-00002F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0"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top style="double">
          <color rgb="FF3F3F3F"/>
        </top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double">
          <color rgb="FF3F3F3F"/>
        </bottom>
      </border>
    </dxf>
    <dxf>
      <alignment horizontal="center" vertical="bottom" textRotation="0" wrapText="0" indent="0" justifyLastLine="0" shrinkToFit="0" readingOrder="0"/>
    </dxf>
  </dxfs>
  <tableStyles count="1" defaultTableStyle="TableStyleMedium9" defaultPivotStyle="PivotStyleLight16">
    <tableStyle name="Invisible" pivot="0" table="0" count="0" xr9:uid="{67554D1F-0708-4616-AA8D-5055F06E620D}"/>
  </tableStyles>
  <colors>
    <mruColors>
      <color rgb="FFFFFFCC"/>
      <color rgb="FF00FF00"/>
      <color rgb="FF000000"/>
      <color rgb="FFFFFFFF"/>
      <color rgb="FF7A0000"/>
      <color rgb="FFEDEDED"/>
      <color rgb="FFFF3300"/>
      <color rgb="FFDDD9C4"/>
      <color rgb="FFDA1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694765</xdr:colOff>
      <xdr:row>40</xdr:row>
      <xdr:rowOff>168088</xdr:rowOff>
    </xdr:from>
    <xdr:to>
      <xdr:col>20</xdr:col>
      <xdr:colOff>145677</xdr:colOff>
      <xdr:row>68</xdr:row>
      <xdr:rowOff>172709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CCDC9D9-DC23-C79A-B8F5-A85A88F46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5383" y="7407088"/>
          <a:ext cx="8751794" cy="53386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694765</xdr:colOff>
      <xdr:row>69</xdr:row>
      <xdr:rowOff>78441</xdr:rowOff>
    </xdr:from>
    <xdr:to>
      <xdr:col>20</xdr:col>
      <xdr:colOff>162597</xdr:colOff>
      <xdr:row>78</xdr:row>
      <xdr:rowOff>112059</xdr:rowOff>
    </xdr:to>
    <xdr:pic>
      <xdr:nvPicPr>
        <xdr:cNvPr id="7" name="Imagen 1">
          <a:extLst>
            <a:ext uri="{FF2B5EF4-FFF2-40B4-BE49-F238E27FC236}">
              <a16:creationId xmlns:a16="http://schemas.microsoft.com/office/drawing/2014/main" id="{64F2EF71-354B-954C-0ED9-B97C642D0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5383" y="12841941"/>
          <a:ext cx="8768714" cy="1748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733425</xdr:colOff>
      <xdr:row>6</xdr:row>
      <xdr:rowOff>25400</xdr:rowOff>
    </xdr:from>
    <xdr:to>
      <xdr:col>8</xdr:col>
      <xdr:colOff>28575</xdr:colOff>
      <xdr:row>7</xdr:row>
      <xdr:rowOff>235585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7F84E5-8427-8C8E-02F9-50FD467A7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1587500"/>
          <a:ext cx="6600825" cy="448310"/>
        </a:xfrm>
        <a:prstGeom prst="rect">
          <a:avLst/>
        </a:prstGeom>
      </xdr:spPr>
    </xdr:pic>
    <xdr:clientData/>
  </xdr:twoCellAnchor>
  <xdr:twoCellAnchor>
    <xdr:from>
      <xdr:col>4</xdr:col>
      <xdr:colOff>711200</xdr:colOff>
      <xdr:row>5</xdr:row>
      <xdr:rowOff>225425</xdr:rowOff>
    </xdr:from>
    <xdr:to>
      <xdr:col>5</xdr:col>
      <xdr:colOff>1187450</xdr:colOff>
      <xdr:row>6</xdr:row>
      <xdr:rowOff>225425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E9B50AB-0037-C29E-2D7C-AE964A163E28}"/>
            </a:ext>
          </a:extLst>
        </xdr:cNvPr>
        <xdr:cNvSpPr/>
      </xdr:nvSpPr>
      <xdr:spPr>
        <a:xfrm>
          <a:off x="8674100" y="1549400"/>
          <a:ext cx="1285875" cy="2381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1323974</xdr:colOff>
      <xdr:row>5</xdr:row>
      <xdr:rowOff>228600</xdr:rowOff>
    </xdr:from>
    <xdr:to>
      <xdr:col>6</xdr:col>
      <xdr:colOff>1343024</xdr:colOff>
      <xdr:row>6</xdr:row>
      <xdr:rowOff>228600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7C22418E-05BA-6131-EAFE-3FA7E17223F5}"/>
            </a:ext>
          </a:extLst>
        </xdr:cNvPr>
        <xdr:cNvSpPr/>
      </xdr:nvSpPr>
      <xdr:spPr>
        <a:xfrm>
          <a:off x="10096499" y="1552575"/>
          <a:ext cx="3038475" cy="2381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1501775</xdr:colOff>
      <xdr:row>6</xdr:row>
      <xdr:rowOff>0</xdr:rowOff>
    </xdr:from>
    <xdr:to>
      <xdr:col>6</xdr:col>
      <xdr:colOff>2330450</xdr:colOff>
      <xdr:row>7</xdr:row>
      <xdr:rowOff>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69EC63C1-8676-1CA6-E577-D3EF9B374140}"/>
            </a:ext>
          </a:extLst>
        </xdr:cNvPr>
        <xdr:cNvSpPr/>
      </xdr:nvSpPr>
      <xdr:spPr>
        <a:xfrm>
          <a:off x="13293725" y="1562100"/>
          <a:ext cx="828675" cy="2381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695325</xdr:colOff>
      <xdr:row>6</xdr:row>
      <xdr:rowOff>0</xdr:rowOff>
    </xdr:from>
    <xdr:to>
      <xdr:col>7</xdr:col>
      <xdr:colOff>1123950</xdr:colOff>
      <xdr:row>7</xdr:row>
      <xdr:rowOff>190500</xdr:rowOff>
    </xdr:to>
    <xdr:sp macro="" textlink="">
      <xdr:nvSpPr>
        <xdr:cNvPr id="8" name="Forma libre: forma 7">
          <a:extLst>
            <a:ext uri="{FF2B5EF4-FFF2-40B4-BE49-F238E27FC236}">
              <a16:creationId xmlns:a16="http://schemas.microsoft.com/office/drawing/2014/main" id="{F719161B-3600-6628-CA3D-A6EC8B673588}"/>
            </a:ext>
          </a:extLst>
        </xdr:cNvPr>
        <xdr:cNvSpPr/>
      </xdr:nvSpPr>
      <xdr:spPr>
        <a:xfrm>
          <a:off x="8658225" y="1562100"/>
          <a:ext cx="6600825" cy="428625"/>
        </a:xfrm>
        <a:custGeom>
          <a:avLst/>
          <a:gdLst>
            <a:gd name="csX0" fmla="*/ 5629275 w 6600825"/>
            <a:gd name="csY0" fmla="*/ 0 h 428625"/>
            <a:gd name="csX1" fmla="*/ 5629275 w 6600825"/>
            <a:gd name="csY1" fmla="*/ 257175 h 428625"/>
            <a:gd name="csX2" fmla="*/ 6477000 w 6600825"/>
            <a:gd name="csY2" fmla="*/ 238125 h 428625"/>
            <a:gd name="csX3" fmla="*/ 6448425 w 6600825"/>
            <a:gd name="csY3" fmla="*/ 285750 h 428625"/>
            <a:gd name="csX4" fmla="*/ 0 w 6600825"/>
            <a:gd name="csY4" fmla="*/ 247650 h 428625"/>
            <a:gd name="csX5" fmla="*/ 9525 w 6600825"/>
            <a:gd name="csY5" fmla="*/ 409575 h 428625"/>
            <a:gd name="csX6" fmla="*/ 6600825 w 6600825"/>
            <a:gd name="csY6" fmla="*/ 428625 h 428625"/>
            <a:gd name="csX7" fmla="*/ 6591300 w 6600825"/>
            <a:gd name="csY7" fmla="*/ 38100 h 428625"/>
            <a:gd name="csX8" fmla="*/ 5629275 w 6600825"/>
            <a:gd name="csY8" fmla="*/ 0 h 4286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6600825" h="428625">
              <a:moveTo>
                <a:pt x="5629275" y="0"/>
              </a:moveTo>
              <a:lnTo>
                <a:pt x="5629275" y="257175"/>
              </a:lnTo>
              <a:lnTo>
                <a:pt x="6477000" y="238125"/>
              </a:lnTo>
              <a:lnTo>
                <a:pt x="6448425" y="285750"/>
              </a:lnTo>
              <a:lnTo>
                <a:pt x="0" y="247650"/>
              </a:lnTo>
              <a:lnTo>
                <a:pt x="9525" y="409575"/>
              </a:lnTo>
              <a:lnTo>
                <a:pt x="6600825" y="428625"/>
              </a:lnTo>
              <a:lnTo>
                <a:pt x="6591300" y="38100"/>
              </a:lnTo>
              <a:lnTo>
                <a:pt x="5629275" y="0"/>
              </a:lnTo>
              <a:close/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5</xdr:col>
      <xdr:colOff>314325</xdr:colOff>
      <xdr:row>5</xdr:row>
      <xdr:rowOff>9525</xdr:rowOff>
    </xdr:from>
    <xdr:ext cx="357918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DE16D206-ED59-7BD5-ACFC-BC41AA6F1148}"/>
            </a:ext>
          </a:extLst>
        </xdr:cNvPr>
        <xdr:cNvSpPr txBox="1"/>
      </xdr:nvSpPr>
      <xdr:spPr>
        <a:xfrm>
          <a:off x="9086850" y="1333500"/>
          <a:ext cx="3579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/>
            <a:t>ISP</a:t>
          </a:r>
        </a:p>
      </xdr:txBody>
    </xdr:sp>
    <xdr:clientData/>
  </xdr:oneCellAnchor>
  <xdr:oneCellAnchor>
    <xdr:from>
      <xdr:col>5</xdr:col>
      <xdr:colOff>314325</xdr:colOff>
      <xdr:row>5</xdr:row>
      <xdr:rowOff>9525</xdr:rowOff>
    </xdr:from>
    <xdr:ext cx="357918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9F166470-F77D-47E0-B117-0F05EB181D6C}"/>
            </a:ext>
          </a:extLst>
        </xdr:cNvPr>
        <xdr:cNvSpPr txBox="1"/>
      </xdr:nvSpPr>
      <xdr:spPr>
        <a:xfrm>
          <a:off x="9086850" y="1333500"/>
          <a:ext cx="3579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>
              <a:solidFill>
                <a:srgbClr val="0070C0"/>
              </a:solidFill>
            </a:rPr>
            <a:t>ISP</a:t>
          </a:r>
        </a:p>
      </xdr:txBody>
    </xdr:sp>
    <xdr:clientData/>
  </xdr:oneCellAnchor>
  <xdr:oneCellAnchor>
    <xdr:from>
      <xdr:col>5</xdr:col>
      <xdr:colOff>2676525</xdr:colOff>
      <xdr:row>5</xdr:row>
      <xdr:rowOff>0</xdr:rowOff>
    </xdr:from>
    <xdr:ext cx="401457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6642F3E4-0C4A-8D51-6C3B-7839D0A005BA}"/>
            </a:ext>
          </a:extLst>
        </xdr:cNvPr>
        <xdr:cNvSpPr txBox="1"/>
      </xdr:nvSpPr>
      <xdr:spPr>
        <a:xfrm>
          <a:off x="11449050" y="1323975"/>
          <a:ext cx="4014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>
              <a:solidFill>
                <a:srgbClr val="0070C0"/>
              </a:solidFill>
            </a:rPr>
            <a:t>SBC</a:t>
          </a:r>
        </a:p>
      </xdr:txBody>
    </xdr:sp>
    <xdr:clientData/>
  </xdr:oneCellAnchor>
  <xdr:oneCellAnchor>
    <xdr:from>
      <xdr:col>6</xdr:col>
      <xdr:colOff>1673225</xdr:colOff>
      <xdr:row>5</xdr:row>
      <xdr:rowOff>6350</xdr:rowOff>
    </xdr:from>
    <xdr:ext cx="324704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936C866A-55C7-F2DB-680B-D0A36018192F}"/>
            </a:ext>
          </a:extLst>
        </xdr:cNvPr>
        <xdr:cNvSpPr txBox="1"/>
      </xdr:nvSpPr>
      <xdr:spPr>
        <a:xfrm>
          <a:off x="13465175" y="1330325"/>
          <a:ext cx="3247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>
              <a:solidFill>
                <a:srgbClr val="0070C0"/>
              </a:solidFill>
            </a:rPr>
            <a:t>SC</a:t>
          </a:r>
        </a:p>
      </xdr:txBody>
    </xdr:sp>
    <xdr:clientData/>
  </xdr:oneCellAnchor>
  <xdr:oneCellAnchor>
    <xdr:from>
      <xdr:col>7</xdr:col>
      <xdr:colOff>428625</xdr:colOff>
      <xdr:row>5</xdr:row>
      <xdr:rowOff>6350</xdr:rowOff>
    </xdr:from>
    <xdr:ext cx="405688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9DAF33CB-149F-12AF-C9AD-AB9B69288C6C}"/>
            </a:ext>
          </a:extLst>
        </xdr:cNvPr>
        <xdr:cNvSpPr txBox="1"/>
      </xdr:nvSpPr>
      <xdr:spPr>
        <a:xfrm>
          <a:off x="14563725" y="1330325"/>
          <a:ext cx="4056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>
              <a:solidFill>
                <a:srgbClr val="0070C0"/>
              </a:solidFill>
            </a:rPr>
            <a:t>PPC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Table10" displayName="Table10" ref="A1:F78" totalsRowShown="0" headerRowDxfId="9" dataDxfId="7" headerRowBorderDxfId="8" tableBorderDxfId="6">
  <autoFilter ref="A1:F78" xr:uid="{00000000-0009-0000-0100-00000A000000}"/>
  <tableColumns count="6">
    <tableColumn id="1" xr3:uid="{00000000-0010-0000-0000-000001000000}" name="AÑO" dataDxfId="5"/>
    <tableColumn id="2" xr3:uid="{00000000-0010-0000-0000-000002000000}" name="SMLV" dataDxfId="4"/>
    <tableColumn id="3" xr3:uid="{00000000-0010-0000-0000-000003000000}" name="AUX TRANSPORTE" dataDxfId="3"/>
    <tableColumn id="4" xr3:uid="{00000000-0010-0000-0000-000004000000}" name="SALARIO BASE" dataDxfId="2" dataCellStyle="Moneda [0]">
      <calculatedColumnFormula>Table10[[#This Row],[AUX TRANSPORTE]]+Table10[[#This Row],[SMLV]]</calculatedColumnFormula>
    </tableColumn>
    <tableColumn id="5" xr3:uid="{00000000-0010-0000-0000-000005000000}" name="NORMA smlv" dataDxfId="1"/>
    <tableColumn id="6" xr3:uid="{00000000-0010-0000-0000-000006000000}" name="Norma Aux. Tpt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anrep.gov.co/es/ip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watch?v=GxGDTbKxTc0" TargetMode="External"/><Relationship Id="rId1" Type="http://schemas.openxmlformats.org/officeDocument/2006/relationships/hyperlink" Target="https://www.youtube.com/watch?v=23zZ0nepIt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G872"/>
  <sheetViews>
    <sheetView showGridLines="0" zoomScale="140" zoomScaleNormal="140" workbookViewId="0">
      <pane ySplit="2" topLeftCell="A834" activePane="bottomLeft" state="frozen"/>
      <selection pane="bottomLeft" activeCell="D836" sqref="D836"/>
    </sheetView>
  </sheetViews>
  <sheetFormatPr baseColWidth="10" defaultColWidth="11.453125" defaultRowHeight="10" x14ac:dyDescent="0.2"/>
  <cols>
    <col min="1" max="1" width="11.54296875" style="1" customWidth="1"/>
    <col min="2" max="4" width="22.81640625" style="1" customWidth="1"/>
    <col min="5" max="6" width="45.7265625" style="1" customWidth="1"/>
    <col min="7" max="7" width="41.1796875" style="1" customWidth="1"/>
    <col min="8" max="16384" width="11.453125" style="1"/>
  </cols>
  <sheetData>
    <row r="1" spans="1:7" ht="10.5" x14ac:dyDescent="0.25">
      <c r="A1" s="27" t="s">
        <v>126</v>
      </c>
    </row>
    <row r="2" spans="1:7" ht="29.5" thickBot="1" x14ac:dyDescent="0.4">
      <c r="A2" s="23" t="s">
        <v>0</v>
      </c>
      <c r="B2" s="24" t="s">
        <v>1</v>
      </c>
      <c r="C2" s="24" t="s">
        <v>17</v>
      </c>
      <c r="D2" s="44" t="s">
        <v>125</v>
      </c>
      <c r="E2" s="25" t="s">
        <v>2</v>
      </c>
      <c r="F2" s="25" t="s">
        <v>3</v>
      </c>
      <c r="G2" s="26" t="s">
        <v>4</v>
      </c>
    </row>
    <row r="3" spans="1:7" ht="10.5" thickBot="1" x14ac:dyDescent="0.25">
      <c r="A3" s="2">
        <v>1954</v>
      </c>
      <c r="B3" s="3" t="s">
        <v>5</v>
      </c>
      <c r="C3" s="3" t="str">
        <f>B3&amp;" "&amp;A3</f>
        <v>Julio 1954</v>
      </c>
      <c r="D3" s="20">
        <v>2.6315244667419899E-2</v>
      </c>
      <c r="E3" s="4"/>
      <c r="F3" s="4"/>
      <c r="G3" s="5"/>
    </row>
    <row r="4" spans="1:7" ht="10.5" thickBot="1" x14ac:dyDescent="0.25">
      <c r="A4" s="6">
        <f>A3</f>
        <v>1954</v>
      </c>
      <c r="B4" s="3" t="s">
        <v>6</v>
      </c>
      <c r="C4" s="3" t="str">
        <f t="shared" ref="C4:C67" si="0">B4&amp;" "&amp;A4</f>
        <v>Agosto 1954</v>
      </c>
      <c r="D4" s="20">
        <v>2.6115617072001201E-2</v>
      </c>
      <c r="E4" s="7">
        <v>-7.6E-3</v>
      </c>
      <c r="F4" s="7">
        <v>-7.6E-3</v>
      </c>
      <c r="G4" s="5"/>
    </row>
    <row r="5" spans="1:7" ht="10.5" thickBot="1" x14ac:dyDescent="0.25">
      <c r="A5" s="6">
        <f>A3</f>
        <v>1954</v>
      </c>
      <c r="B5" s="3" t="s">
        <v>7</v>
      </c>
      <c r="C5" s="3" t="str">
        <f t="shared" si="0"/>
        <v>Septiembre 1954</v>
      </c>
      <c r="D5" s="20">
        <v>2.5758939794871899E-2</v>
      </c>
      <c r="E5" s="7">
        <v>-1.37E-2</v>
      </c>
      <c r="F5" s="7">
        <v>-2.12E-2</v>
      </c>
      <c r="G5" s="5"/>
    </row>
    <row r="6" spans="1:7" ht="10.5" thickBot="1" x14ac:dyDescent="0.25">
      <c r="A6" s="6">
        <f>A3</f>
        <v>1954</v>
      </c>
      <c r="B6" s="3" t="s">
        <v>8</v>
      </c>
      <c r="C6" s="3" t="str">
        <f t="shared" si="0"/>
        <v>Octubre 1954</v>
      </c>
      <c r="D6" s="20">
        <v>2.5845491619459E-2</v>
      </c>
      <c r="E6" s="7">
        <v>3.3999999999999998E-3</v>
      </c>
      <c r="F6" s="7">
        <v>-1.7899999999999999E-2</v>
      </c>
      <c r="G6" s="5"/>
    </row>
    <row r="7" spans="1:7" ht="10.5" thickBot="1" x14ac:dyDescent="0.25">
      <c r="A7" s="6">
        <f>A3</f>
        <v>1954</v>
      </c>
      <c r="B7" s="3" t="s">
        <v>9</v>
      </c>
      <c r="C7" s="3" t="str">
        <f t="shared" si="0"/>
        <v>Noviembre 1954</v>
      </c>
      <c r="D7" s="20">
        <v>2.5914593479411701E-2</v>
      </c>
      <c r="E7" s="7">
        <v>2.7000000000000001E-3</v>
      </c>
      <c r="F7" s="7">
        <v>-1.52E-2</v>
      </c>
      <c r="G7" s="5"/>
    </row>
    <row r="8" spans="1:7" ht="10.5" thickBot="1" x14ac:dyDescent="0.25">
      <c r="A8" s="8">
        <f>A3</f>
        <v>1954</v>
      </c>
      <c r="B8" s="3" t="s">
        <v>10</v>
      </c>
      <c r="C8" s="3" t="str">
        <f t="shared" si="0"/>
        <v>Diciembre 1954</v>
      </c>
      <c r="D8" s="20">
        <v>2.6053495197902302E-2</v>
      </c>
      <c r="E8" s="7">
        <v>5.4000000000000003E-3</v>
      </c>
      <c r="F8" s="7">
        <v>-0.01</v>
      </c>
      <c r="G8" s="5"/>
    </row>
    <row r="9" spans="1:7" ht="10.5" thickBot="1" x14ac:dyDescent="0.25">
      <c r="A9" s="9">
        <v>1955</v>
      </c>
      <c r="B9" s="10" t="s">
        <v>11</v>
      </c>
      <c r="C9" s="10" t="str">
        <f t="shared" si="0"/>
        <v>Enero 1955</v>
      </c>
      <c r="D9" s="19">
        <v>2.6010219285608802E-2</v>
      </c>
      <c r="E9" s="11">
        <v>-1.6999999999999999E-3</v>
      </c>
      <c r="F9" s="11">
        <v>-1.6999999999999999E-3</v>
      </c>
      <c r="G9" s="12"/>
    </row>
    <row r="10" spans="1:7" ht="10.5" thickBot="1" x14ac:dyDescent="0.25">
      <c r="A10" s="13">
        <f>A9</f>
        <v>1955</v>
      </c>
      <c r="B10" s="10" t="s">
        <v>12</v>
      </c>
      <c r="C10" s="10" t="str">
        <f t="shared" si="0"/>
        <v>Febrero 1955</v>
      </c>
      <c r="D10" s="19">
        <v>2.5992769320974302E-2</v>
      </c>
      <c r="E10" s="11">
        <v>-6.9999999999999999E-4</v>
      </c>
      <c r="F10" s="11">
        <v>-2.3E-3</v>
      </c>
      <c r="G10" s="12"/>
    </row>
    <row r="11" spans="1:7" ht="10.5" thickBot="1" x14ac:dyDescent="0.25">
      <c r="A11" s="13">
        <f>A9</f>
        <v>1955</v>
      </c>
      <c r="B11" s="10" t="s">
        <v>13</v>
      </c>
      <c r="C11" s="10" t="str">
        <f t="shared" si="0"/>
        <v>Marzo 1955</v>
      </c>
      <c r="D11" s="19">
        <v>2.6096771110195899E-2</v>
      </c>
      <c r="E11" s="11">
        <v>4.0000000000000001E-3</v>
      </c>
      <c r="F11" s="11">
        <v>1.6999999999999999E-3</v>
      </c>
      <c r="G11" s="12"/>
    </row>
    <row r="12" spans="1:7" ht="10.5" thickBot="1" x14ac:dyDescent="0.25">
      <c r="A12" s="13">
        <f>A9</f>
        <v>1955</v>
      </c>
      <c r="B12" s="10" t="s">
        <v>14</v>
      </c>
      <c r="C12" s="10" t="str">
        <f t="shared" si="0"/>
        <v>Abril 1955</v>
      </c>
      <c r="D12" s="19">
        <v>2.6279646739565499E-2</v>
      </c>
      <c r="E12" s="11">
        <v>7.0000000000000001E-3</v>
      </c>
      <c r="F12" s="11">
        <v>8.6999999999999994E-3</v>
      </c>
      <c r="G12" s="12"/>
    </row>
    <row r="13" spans="1:7" ht="10.5" thickBot="1" x14ac:dyDescent="0.25">
      <c r="A13" s="13">
        <f>A9</f>
        <v>1955</v>
      </c>
      <c r="B13" s="10" t="s">
        <v>15</v>
      </c>
      <c r="C13" s="10" t="str">
        <f t="shared" si="0"/>
        <v>Mayo 1955</v>
      </c>
      <c r="D13" s="19">
        <v>2.6166570968733899E-2</v>
      </c>
      <c r="E13" s="11">
        <v>-4.3E-3</v>
      </c>
      <c r="F13" s="11">
        <v>4.3E-3</v>
      </c>
      <c r="G13" s="12"/>
    </row>
    <row r="14" spans="1:7" ht="10.5" thickBot="1" x14ac:dyDescent="0.25">
      <c r="A14" s="13">
        <f>A9</f>
        <v>1955</v>
      </c>
      <c r="B14" s="10" t="s">
        <v>16</v>
      </c>
      <c r="C14" s="10" t="str">
        <f t="shared" si="0"/>
        <v>Junio 1955</v>
      </c>
      <c r="D14" s="19">
        <v>2.6148423005513999E-2</v>
      </c>
      <c r="E14" s="11">
        <v>-6.9999999999999999E-4</v>
      </c>
      <c r="F14" s="11">
        <v>3.7000000000000002E-3</v>
      </c>
      <c r="G14" s="12"/>
    </row>
    <row r="15" spans="1:7" ht="10.5" thickBot="1" x14ac:dyDescent="0.25">
      <c r="A15" s="13">
        <f>A9</f>
        <v>1955</v>
      </c>
      <c r="B15" s="10" t="s">
        <v>5</v>
      </c>
      <c r="C15" s="10" t="str">
        <f t="shared" si="0"/>
        <v>Julio 1955</v>
      </c>
      <c r="D15" s="19">
        <v>2.6087697128585999E-2</v>
      </c>
      <c r="E15" s="11">
        <v>-2.3E-3</v>
      </c>
      <c r="F15" s="11">
        <v>1.2999999999999999E-3</v>
      </c>
      <c r="G15" s="14">
        <v>-8.6999999999999994E-3</v>
      </c>
    </row>
    <row r="16" spans="1:7" ht="10.5" thickBot="1" x14ac:dyDescent="0.25">
      <c r="A16" s="13">
        <f>A9</f>
        <v>1955</v>
      </c>
      <c r="B16" s="10" t="s">
        <v>6</v>
      </c>
      <c r="C16" s="10" t="str">
        <f t="shared" si="0"/>
        <v>Agosto 1955</v>
      </c>
      <c r="D16" s="19">
        <v>2.6113523076244999E-2</v>
      </c>
      <c r="E16" s="11">
        <v>1E-3</v>
      </c>
      <c r="F16" s="11">
        <v>2.3E-3</v>
      </c>
      <c r="G16" s="14">
        <v>-1E-4</v>
      </c>
    </row>
    <row r="17" spans="1:7" ht="10.5" thickBot="1" x14ac:dyDescent="0.25">
      <c r="A17" s="13">
        <f>A9</f>
        <v>1955</v>
      </c>
      <c r="B17" s="10" t="s">
        <v>7</v>
      </c>
      <c r="C17" s="10" t="str">
        <f t="shared" si="0"/>
        <v>Septiembre 1955</v>
      </c>
      <c r="D17" s="19">
        <v>2.5974621357754399E-2</v>
      </c>
      <c r="E17" s="11">
        <v>-5.3E-3</v>
      </c>
      <c r="F17" s="11">
        <v>-3.0000000000000001E-3</v>
      </c>
      <c r="G17" s="14">
        <v>8.3999999999999995E-3</v>
      </c>
    </row>
    <row r="18" spans="1:7" ht="10.5" thickBot="1" x14ac:dyDescent="0.25">
      <c r="A18" s="13">
        <f>A9</f>
        <v>1955</v>
      </c>
      <c r="B18" s="10" t="s">
        <v>8</v>
      </c>
      <c r="C18" s="10" t="str">
        <f t="shared" si="0"/>
        <v>Octubre 1955</v>
      </c>
      <c r="D18" s="19">
        <v>2.6043723217707E-2</v>
      </c>
      <c r="E18" s="11">
        <v>2.7000000000000001E-3</v>
      </c>
      <c r="F18" s="11">
        <v>-4.0000000000000002E-4</v>
      </c>
      <c r="G18" s="14">
        <v>7.7000000000000002E-3</v>
      </c>
    </row>
    <row r="19" spans="1:7" ht="10.5" thickBot="1" x14ac:dyDescent="0.25">
      <c r="A19" s="13">
        <f>A9</f>
        <v>1955</v>
      </c>
      <c r="B19" s="10" t="s">
        <v>9</v>
      </c>
      <c r="C19" s="10" t="str">
        <f t="shared" si="0"/>
        <v>Noviembre 1955</v>
      </c>
      <c r="D19" s="19">
        <v>2.6287324724004701E-2</v>
      </c>
      <c r="E19" s="11">
        <v>9.4000000000000004E-3</v>
      </c>
      <c r="F19" s="11">
        <v>8.9999999999999993E-3</v>
      </c>
      <c r="G19" s="14">
        <v>1.44E-2</v>
      </c>
    </row>
    <row r="20" spans="1:7" ht="10.5" thickBot="1" x14ac:dyDescent="0.25">
      <c r="A20" s="15">
        <f>A9</f>
        <v>1955</v>
      </c>
      <c r="B20" s="10" t="s">
        <v>10</v>
      </c>
      <c r="C20" s="10" t="str">
        <f t="shared" si="0"/>
        <v>Diciembre 1955</v>
      </c>
      <c r="D20" s="19">
        <v>2.6582578125620499E-2</v>
      </c>
      <c r="E20" s="11">
        <v>1.12E-2</v>
      </c>
      <c r="F20" s="11">
        <v>2.0299999999999999E-2</v>
      </c>
      <c r="G20" s="14">
        <v>2.0299999999999999E-2</v>
      </c>
    </row>
    <row r="21" spans="1:7" ht="10.5" thickBot="1" x14ac:dyDescent="0.25">
      <c r="A21" s="16">
        <f>A9+1</f>
        <v>1956</v>
      </c>
      <c r="B21" s="3" t="s">
        <v>11</v>
      </c>
      <c r="C21" s="3" t="str">
        <f t="shared" si="0"/>
        <v>Enero 1956</v>
      </c>
      <c r="D21" s="20">
        <v>2.6556752177961499E-2</v>
      </c>
      <c r="E21" s="7">
        <v>-1E-3</v>
      </c>
      <c r="F21" s="7">
        <v>-1E-3</v>
      </c>
      <c r="G21" s="17">
        <v>2.1000000000000001E-2</v>
      </c>
    </row>
    <row r="22" spans="1:7" ht="10.5" thickBot="1" x14ac:dyDescent="0.25">
      <c r="A22" s="6">
        <f t="shared" ref="A22:A85" si="1">A10+1</f>
        <v>1956</v>
      </c>
      <c r="B22" s="3" t="s">
        <v>12</v>
      </c>
      <c r="C22" s="3" t="str">
        <f t="shared" si="0"/>
        <v>Febrero 1956</v>
      </c>
      <c r="D22" s="20">
        <v>2.6661451965768499E-2</v>
      </c>
      <c r="E22" s="7">
        <v>3.8999999999999998E-3</v>
      </c>
      <c r="F22" s="7">
        <v>2.8999999999999998E-3</v>
      </c>
      <c r="G22" s="17">
        <v>2.5700000000000001E-2</v>
      </c>
    </row>
    <row r="23" spans="1:7" ht="10.5" thickBot="1" x14ac:dyDescent="0.25">
      <c r="A23" s="6">
        <f t="shared" si="1"/>
        <v>1956</v>
      </c>
      <c r="B23" s="3" t="s">
        <v>13</v>
      </c>
      <c r="C23" s="3" t="str">
        <f t="shared" si="0"/>
        <v>Marzo 1956</v>
      </c>
      <c r="D23" s="20">
        <v>2.69050534720662E-2</v>
      </c>
      <c r="E23" s="7">
        <v>9.1000000000000004E-3</v>
      </c>
      <c r="F23" s="7">
        <v>1.21E-2</v>
      </c>
      <c r="G23" s="17">
        <v>3.1E-2</v>
      </c>
    </row>
    <row r="24" spans="1:7" ht="10.5" thickBot="1" x14ac:dyDescent="0.25">
      <c r="A24" s="6">
        <f t="shared" si="1"/>
        <v>1956</v>
      </c>
      <c r="B24" s="3" t="s">
        <v>14</v>
      </c>
      <c r="C24" s="3" t="str">
        <f t="shared" si="0"/>
        <v>Abril 1956</v>
      </c>
      <c r="D24" s="20">
        <v>2.7078855119825902E-2</v>
      </c>
      <c r="E24" s="7">
        <v>6.4999999999999997E-3</v>
      </c>
      <c r="F24" s="7">
        <v>1.8599999999999998E-2</v>
      </c>
      <c r="G24" s="17">
        <v>3.04E-2</v>
      </c>
    </row>
    <row r="25" spans="1:7" ht="10.5" thickBot="1" x14ac:dyDescent="0.25">
      <c r="A25" s="6">
        <f t="shared" si="1"/>
        <v>1956</v>
      </c>
      <c r="B25" s="3" t="s">
        <v>15</v>
      </c>
      <c r="C25" s="3" t="str">
        <f t="shared" si="0"/>
        <v>Mayo 1956</v>
      </c>
      <c r="D25" s="20">
        <v>2.7278482715244599E-2</v>
      </c>
      <c r="E25" s="7">
        <v>7.4000000000000003E-3</v>
      </c>
      <c r="F25" s="7">
        <v>2.6200000000000001E-2</v>
      </c>
      <c r="G25" s="17">
        <v>4.2500000000000003E-2</v>
      </c>
    </row>
    <row r="26" spans="1:7" ht="10.5" thickBot="1" x14ac:dyDescent="0.25">
      <c r="A26" s="6">
        <f t="shared" si="1"/>
        <v>1956</v>
      </c>
      <c r="B26" s="3" t="s">
        <v>16</v>
      </c>
      <c r="C26" s="3" t="str">
        <f t="shared" si="0"/>
        <v>Junio 1956</v>
      </c>
      <c r="D26" s="20">
        <v>2.7530460204566901E-2</v>
      </c>
      <c r="E26" s="7">
        <v>9.1999999999999998E-3</v>
      </c>
      <c r="F26" s="7">
        <v>3.56E-2</v>
      </c>
      <c r="G26" s="17">
        <v>5.28E-2</v>
      </c>
    </row>
    <row r="27" spans="1:7" ht="10.5" thickBot="1" x14ac:dyDescent="0.25">
      <c r="A27" s="6">
        <f t="shared" si="1"/>
        <v>1956</v>
      </c>
      <c r="B27" s="3" t="s">
        <v>5</v>
      </c>
      <c r="C27" s="3" t="str">
        <f t="shared" si="0"/>
        <v>Julio 1956</v>
      </c>
      <c r="D27" s="20">
        <v>2.7747537764620099E-2</v>
      </c>
      <c r="E27" s="7">
        <v>7.9000000000000008E-3</v>
      </c>
      <c r="F27" s="7">
        <v>4.3799999999999999E-2</v>
      </c>
      <c r="G27" s="17">
        <v>6.3600000000000004E-2</v>
      </c>
    </row>
    <row r="28" spans="1:7" ht="10.5" thickBot="1" x14ac:dyDescent="0.25">
      <c r="A28" s="6">
        <f t="shared" si="1"/>
        <v>1956</v>
      </c>
      <c r="B28" s="3" t="s">
        <v>6</v>
      </c>
      <c r="C28" s="3" t="str">
        <f t="shared" si="0"/>
        <v>Agosto 1956</v>
      </c>
      <c r="D28" s="20">
        <v>2.7617012029153998E-2</v>
      </c>
      <c r="E28" s="7">
        <v>-4.7000000000000002E-3</v>
      </c>
      <c r="F28" s="7">
        <v>3.8899999999999997E-2</v>
      </c>
      <c r="G28" s="17">
        <v>5.7599999999999998E-2</v>
      </c>
    </row>
    <row r="29" spans="1:7" ht="10.5" thickBot="1" x14ac:dyDescent="0.25">
      <c r="A29" s="6">
        <f t="shared" si="1"/>
        <v>1956</v>
      </c>
      <c r="B29" s="3" t="s">
        <v>7</v>
      </c>
      <c r="C29" s="3" t="str">
        <f t="shared" si="0"/>
        <v>Septiembre 1956</v>
      </c>
      <c r="D29" s="20">
        <v>2.78606135354517E-2</v>
      </c>
      <c r="E29" s="7">
        <v>8.8000000000000005E-3</v>
      </c>
      <c r="F29" s="7">
        <v>4.8099999999999997E-2</v>
      </c>
      <c r="G29" s="17">
        <v>7.2599999999999998E-2</v>
      </c>
    </row>
    <row r="30" spans="1:7" ht="10.5" thickBot="1" x14ac:dyDescent="0.25">
      <c r="A30" s="6">
        <f t="shared" si="1"/>
        <v>1956</v>
      </c>
      <c r="B30" s="3" t="s">
        <v>8</v>
      </c>
      <c r="C30" s="3" t="str">
        <f t="shared" si="0"/>
        <v>Octubre 1956</v>
      </c>
      <c r="D30" s="20">
        <v>2.8208216830971099E-2</v>
      </c>
      <c r="E30" s="7">
        <v>1.2500000000000001E-2</v>
      </c>
      <c r="F30" s="7">
        <v>6.1100000000000002E-2</v>
      </c>
      <c r="G30" s="17">
        <v>8.3099999999999993E-2</v>
      </c>
    </row>
    <row r="31" spans="1:7" ht="10.5" thickBot="1" x14ac:dyDescent="0.25">
      <c r="A31" s="6">
        <f t="shared" si="1"/>
        <v>1956</v>
      </c>
      <c r="B31" s="3" t="s">
        <v>9</v>
      </c>
      <c r="C31" s="3" t="str">
        <f t="shared" si="0"/>
        <v>Noviembre 1956</v>
      </c>
      <c r="D31" s="20">
        <v>2.8608170020394001E-2</v>
      </c>
      <c r="E31" s="7">
        <v>1.4200000000000001E-2</v>
      </c>
      <c r="F31" s="7">
        <v>7.6200000000000004E-2</v>
      </c>
      <c r="G31" s="17">
        <v>8.8300000000000003E-2</v>
      </c>
    </row>
    <row r="32" spans="1:7" ht="10.5" thickBot="1" x14ac:dyDescent="0.25">
      <c r="A32" s="8">
        <f t="shared" si="1"/>
        <v>1956</v>
      </c>
      <c r="B32" s="3" t="s">
        <v>10</v>
      </c>
      <c r="C32" s="3" t="str">
        <f t="shared" si="0"/>
        <v>Diciembre 1956</v>
      </c>
      <c r="D32" s="20">
        <v>2.8686345861956598E-2</v>
      </c>
      <c r="E32" s="7">
        <v>2.7000000000000001E-3</v>
      </c>
      <c r="F32" s="7">
        <v>7.9100000000000004E-2</v>
      </c>
      <c r="G32" s="17">
        <v>7.9100000000000004E-2</v>
      </c>
    </row>
    <row r="33" spans="1:7" ht="10.5" thickBot="1" x14ac:dyDescent="0.25">
      <c r="A33" s="9">
        <f t="shared" si="1"/>
        <v>1957</v>
      </c>
      <c r="B33" s="10" t="s">
        <v>11</v>
      </c>
      <c r="C33" s="10" t="str">
        <f t="shared" si="0"/>
        <v>Enero 1957</v>
      </c>
      <c r="D33" s="19">
        <v>2.90255731744514E-2</v>
      </c>
      <c r="E33" s="11">
        <v>1.18E-2</v>
      </c>
      <c r="F33" s="11">
        <v>1.18E-2</v>
      </c>
      <c r="G33" s="12">
        <v>9.2999999999999999E-2</v>
      </c>
    </row>
    <row r="34" spans="1:7" ht="10.5" thickBot="1" x14ac:dyDescent="0.25">
      <c r="A34" s="13">
        <f t="shared" si="1"/>
        <v>1957</v>
      </c>
      <c r="B34" s="10" t="s">
        <v>12</v>
      </c>
      <c r="C34" s="10" t="str">
        <f t="shared" si="0"/>
        <v>Febrero 1957</v>
      </c>
      <c r="D34" s="19">
        <v>2.9407378400654299E-2</v>
      </c>
      <c r="E34" s="11">
        <v>1.32E-2</v>
      </c>
      <c r="F34" s="11">
        <v>2.52E-2</v>
      </c>
      <c r="G34" s="12">
        <v>0.10299999999999999</v>
      </c>
    </row>
    <row r="35" spans="1:7" ht="10.5" thickBot="1" x14ac:dyDescent="0.25">
      <c r="A35" s="13">
        <f t="shared" si="1"/>
        <v>1957</v>
      </c>
      <c r="B35" s="10" t="s">
        <v>13</v>
      </c>
      <c r="C35" s="10" t="str">
        <f t="shared" si="0"/>
        <v>Marzo 1957</v>
      </c>
      <c r="D35" s="19">
        <v>2.9920407360908799E-2</v>
      </c>
      <c r="E35" s="11">
        <v>1.7399999999999999E-2</v>
      </c>
      <c r="F35" s="11">
        <v>4.2999999999999997E-2</v>
      </c>
      <c r="G35" s="12">
        <v>0.11210000000000001</v>
      </c>
    </row>
    <row r="36" spans="1:7" ht="10.5" thickBot="1" x14ac:dyDescent="0.25">
      <c r="A36" s="13">
        <f t="shared" si="1"/>
        <v>1957</v>
      </c>
      <c r="B36" s="10" t="s">
        <v>14</v>
      </c>
      <c r="C36" s="10" t="str">
        <f t="shared" si="0"/>
        <v>Abril 1957</v>
      </c>
      <c r="D36" s="19">
        <v>3.0589788004288399E-2</v>
      </c>
      <c r="E36" s="11">
        <v>2.24E-2</v>
      </c>
      <c r="F36" s="11">
        <v>6.6400000000000001E-2</v>
      </c>
      <c r="G36" s="12">
        <v>0.12970000000000001</v>
      </c>
    </row>
    <row r="37" spans="1:7" ht="10.5" thickBot="1" x14ac:dyDescent="0.25">
      <c r="A37" s="13">
        <f t="shared" si="1"/>
        <v>1957</v>
      </c>
      <c r="B37" s="10" t="s">
        <v>15</v>
      </c>
      <c r="C37" s="10" t="str">
        <f t="shared" si="0"/>
        <v>Mayo 1957</v>
      </c>
      <c r="D37" s="19">
        <v>3.0981365210686701E-2</v>
      </c>
      <c r="E37" s="11">
        <v>1.2800000000000001E-2</v>
      </c>
      <c r="F37" s="11">
        <v>0.08</v>
      </c>
      <c r="G37" s="12">
        <v>0.1358</v>
      </c>
    </row>
    <row r="38" spans="1:7" ht="10.5" thickBot="1" x14ac:dyDescent="0.25">
      <c r="A38" s="13">
        <f t="shared" si="1"/>
        <v>1957</v>
      </c>
      <c r="B38" s="10" t="s">
        <v>16</v>
      </c>
      <c r="C38" s="10" t="str">
        <f t="shared" si="0"/>
        <v>Junio 1957</v>
      </c>
      <c r="D38" s="19">
        <v>3.2251024637493401E-2</v>
      </c>
      <c r="E38" s="11">
        <v>4.1000000000000002E-2</v>
      </c>
      <c r="F38" s="11">
        <v>0.12429999999999999</v>
      </c>
      <c r="G38" s="12">
        <v>0.17150000000000001</v>
      </c>
    </row>
    <row r="39" spans="1:7" ht="10.5" thickBot="1" x14ac:dyDescent="0.25">
      <c r="A39" s="13">
        <f t="shared" si="1"/>
        <v>1957</v>
      </c>
      <c r="B39" s="10" t="s">
        <v>5</v>
      </c>
      <c r="C39" s="10" t="str">
        <f t="shared" si="0"/>
        <v>Julio 1957</v>
      </c>
      <c r="D39" s="19">
        <v>3.3128408859316297E-2</v>
      </c>
      <c r="E39" s="11">
        <v>2.7199999999999998E-2</v>
      </c>
      <c r="F39" s="11">
        <v>0.15490000000000001</v>
      </c>
      <c r="G39" s="14">
        <v>0.19389999999999999</v>
      </c>
    </row>
    <row r="40" spans="1:7" ht="10.5" thickBot="1" x14ac:dyDescent="0.25">
      <c r="A40" s="13">
        <f t="shared" si="1"/>
        <v>1957</v>
      </c>
      <c r="B40" s="10" t="s">
        <v>6</v>
      </c>
      <c r="C40" s="10" t="str">
        <f t="shared" si="0"/>
        <v>Agosto 1957</v>
      </c>
      <c r="D40" s="19">
        <v>3.3536738031763803E-2</v>
      </c>
      <c r="E40" s="11">
        <v>1.23E-2</v>
      </c>
      <c r="F40" s="11">
        <v>0.1691</v>
      </c>
      <c r="G40" s="14">
        <v>0.21429999999999999</v>
      </c>
    </row>
    <row r="41" spans="1:7" ht="10.5" thickBot="1" x14ac:dyDescent="0.25">
      <c r="A41" s="13">
        <f t="shared" si="1"/>
        <v>1957</v>
      </c>
      <c r="B41" s="10" t="s">
        <v>7</v>
      </c>
      <c r="C41" s="10" t="str">
        <f t="shared" si="0"/>
        <v>Septiembre 1957</v>
      </c>
      <c r="D41" s="19">
        <v>3.3691693717718199E-2</v>
      </c>
      <c r="E41" s="11">
        <v>4.5999999999999999E-3</v>
      </c>
      <c r="F41" s="11">
        <v>0.17449999999999999</v>
      </c>
      <c r="G41" s="14">
        <v>0.20930000000000001</v>
      </c>
    </row>
    <row r="42" spans="1:7" ht="10.5" thickBot="1" x14ac:dyDescent="0.25">
      <c r="A42" s="13">
        <f t="shared" si="1"/>
        <v>1957</v>
      </c>
      <c r="B42" s="10" t="s">
        <v>8</v>
      </c>
      <c r="C42" s="10" t="str">
        <f t="shared" si="0"/>
        <v>Octubre 1957</v>
      </c>
      <c r="D42" s="19">
        <v>3.4178896730313602E-2</v>
      </c>
      <c r="E42" s="11">
        <v>1.44E-2</v>
      </c>
      <c r="F42" s="11">
        <v>0.1915</v>
      </c>
      <c r="G42" s="14">
        <v>0.2117</v>
      </c>
    </row>
    <row r="43" spans="1:7" ht="10.5" thickBot="1" x14ac:dyDescent="0.25">
      <c r="A43" s="13">
        <f t="shared" si="1"/>
        <v>1957</v>
      </c>
      <c r="B43" s="10" t="s">
        <v>9</v>
      </c>
      <c r="C43" s="10" t="str">
        <f t="shared" si="0"/>
        <v>Noviembre 1957</v>
      </c>
      <c r="D43" s="19">
        <v>3.4282898519535199E-2</v>
      </c>
      <c r="E43" s="11">
        <v>3.0999999999999999E-3</v>
      </c>
      <c r="F43" s="11">
        <v>0.1951</v>
      </c>
      <c r="G43" s="14">
        <v>0.19839999999999999</v>
      </c>
    </row>
    <row r="44" spans="1:7" ht="10.5" thickBot="1" x14ac:dyDescent="0.25">
      <c r="A44" s="15">
        <f t="shared" si="1"/>
        <v>1957</v>
      </c>
      <c r="B44" s="10" t="s">
        <v>10</v>
      </c>
      <c r="C44" s="10" t="str">
        <f t="shared" si="0"/>
        <v>Diciembre 1957</v>
      </c>
      <c r="D44" s="19">
        <v>3.4621427833444601E-2</v>
      </c>
      <c r="E44" s="11">
        <v>9.9000000000000008E-3</v>
      </c>
      <c r="F44" s="11">
        <v>0.2069</v>
      </c>
      <c r="G44" s="14">
        <v>0.2069</v>
      </c>
    </row>
    <row r="45" spans="1:7" ht="10.5" thickBot="1" x14ac:dyDescent="0.25">
      <c r="A45" s="16">
        <f t="shared" si="1"/>
        <v>1958</v>
      </c>
      <c r="B45" s="3" t="s">
        <v>11</v>
      </c>
      <c r="C45" s="3" t="str">
        <f t="shared" si="0"/>
        <v>Enero 1958</v>
      </c>
      <c r="D45" s="20">
        <v>3.4673777727348101E-2</v>
      </c>
      <c r="E45" s="7">
        <v>1.5E-3</v>
      </c>
      <c r="F45" s="7">
        <v>1.5E-3</v>
      </c>
      <c r="G45" s="17">
        <v>0.1946</v>
      </c>
    </row>
    <row r="46" spans="1:7" ht="10.5" thickBot="1" x14ac:dyDescent="0.25">
      <c r="A46" s="6">
        <f t="shared" si="1"/>
        <v>1958</v>
      </c>
      <c r="B46" s="3" t="s">
        <v>12</v>
      </c>
      <c r="C46" s="3" t="str">
        <f t="shared" si="0"/>
        <v>Febrero 1958</v>
      </c>
      <c r="D46" s="20">
        <v>3.4717053639641698E-2</v>
      </c>
      <c r="E46" s="7">
        <v>1.1999999999999999E-3</v>
      </c>
      <c r="F46" s="7">
        <v>2.8E-3</v>
      </c>
      <c r="G46" s="17">
        <v>0.18049999999999999</v>
      </c>
    </row>
    <row r="47" spans="1:7" ht="10.5" thickBot="1" x14ac:dyDescent="0.25">
      <c r="A47" s="6">
        <f t="shared" si="1"/>
        <v>1958</v>
      </c>
      <c r="B47" s="3" t="s">
        <v>13</v>
      </c>
      <c r="C47" s="3" t="str">
        <f t="shared" si="0"/>
        <v>Marzo 1958</v>
      </c>
      <c r="D47" s="20">
        <v>3.5264982529165198E-2</v>
      </c>
      <c r="E47" s="7">
        <v>1.5800000000000002E-2</v>
      </c>
      <c r="F47" s="7">
        <v>1.8599999999999998E-2</v>
      </c>
      <c r="G47" s="17">
        <v>0.17860000000000001</v>
      </c>
    </row>
    <row r="48" spans="1:7" ht="10.5" thickBot="1" x14ac:dyDescent="0.25">
      <c r="A48" s="6">
        <f t="shared" si="1"/>
        <v>1958</v>
      </c>
      <c r="B48" s="3" t="s">
        <v>14</v>
      </c>
      <c r="C48" s="3" t="str">
        <f t="shared" si="0"/>
        <v>Abril 1958</v>
      </c>
      <c r="D48" s="20">
        <v>3.5864563314006802E-2</v>
      </c>
      <c r="E48" s="7">
        <v>1.7000000000000001E-2</v>
      </c>
      <c r="F48" s="7">
        <v>3.5900000000000001E-2</v>
      </c>
      <c r="G48" s="17">
        <v>0.1724</v>
      </c>
    </row>
    <row r="49" spans="1:7" ht="10.5" thickBot="1" x14ac:dyDescent="0.25">
      <c r="A49" s="6">
        <f t="shared" si="1"/>
        <v>1958</v>
      </c>
      <c r="B49" s="3" t="s">
        <v>15</v>
      </c>
      <c r="C49" s="3" t="str">
        <f t="shared" si="0"/>
        <v>Mayo 1958</v>
      </c>
      <c r="D49" s="20">
        <v>3.6577219869680003E-2</v>
      </c>
      <c r="E49" s="7">
        <v>1.9900000000000001E-2</v>
      </c>
      <c r="F49" s="7">
        <v>5.6500000000000002E-2</v>
      </c>
      <c r="G49" s="17">
        <v>0.18060000000000001</v>
      </c>
    </row>
    <row r="50" spans="1:7" ht="10.5" thickBot="1" x14ac:dyDescent="0.25">
      <c r="A50" s="6">
        <f t="shared" si="1"/>
        <v>1958</v>
      </c>
      <c r="B50" s="3" t="s">
        <v>16</v>
      </c>
      <c r="C50" s="3" t="str">
        <f t="shared" si="0"/>
        <v>Junio 1958</v>
      </c>
      <c r="D50" s="20">
        <v>3.6733571552805197E-2</v>
      </c>
      <c r="E50" s="7">
        <v>4.3E-3</v>
      </c>
      <c r="F50" s="7">
        <v>6.0999999999999999E-2</v>
      </c>
      <c r="G50" s="17">
        <v>0.13900000000000001</v>
      </c>
    </row>
    <row r="51" spans="1:7" ht="10.5" thickBot="1" x14ac:dyDescent="0.25">
      <c r="A51" s="6">
        <f t="shared" si="1"/>
        <v>1958</v>
      </c>
      <c r="B51" s="3" t="s">
        <v>5</v>
      </c>
      <c r="C51" s="3" t="str">
        <f t="shared" si="0"/>
        <v>Julio 1958</v>
      </c>
      <c r="D51" s="20">
        <v>3.6767773483488801E-2</v>
      </c>
      <c r="E51" s="7">
        <v>8.9999999999999998E-4</v>
      </c>
      <c r="F51" s="7">
        <v>6.2E-2</v>
      </c>
      <c r="G51" s="17">
        <v>0.1099</v>
      </c>
    </row>
    <row r="52" spans="1:7" ht="10.5" thickBot="1" x14ac:dyDescent="0.25">
      <c r="A52" s="6">
        <f t="shared" si="1"/>
        <v>1958</v>
      </c>
      <c r="B52" s="3" t="s">
        <v>6</v>
      </c>
      <c r="C52" s="3" t="str">
        <f t="shared" si="0"/>
        <v>Agosto 1958</v>
      </c>
      <c r="D52" s="20">
        <v>3.7046274919055502E-2</v>
      </c>
      <c r="E52" s="7">
        <v>7.6E-3</v>
      </c>
      <c r="F52" s="7">
        <v>7.0000000000000007E-2</v>
      </c>
      <c r="G52" s="17">
        <v>0.1047</v>
      </c>
    </row>
    <row r="53" spans="1:7" ht="10.5" thickBot="1" x14ac:dyDescent="0.25">
      <c r="A53" s="6">
        <f t="shared" si="1"/>
        <v>1958</v>
      </c>
      <c r="B53" s="3" t="s">
        <v>7</v>
      </c>
      <c r="C53" s="3" t="str">
        <f t="shared" si="0"/>
        <v>Septiembre 1958</v>
      </c>
      <c r="D53" s="20">
        <v>3.71070007959836E-2</v>
      </c>
      <c r="E53" s="7">
        <v>1.6000000000000001E-3</v>
      </c>
      <c r="F53" s="7">
        <v>7.1800000000000003E-2</v>
      </c>
      <c r="G53" s="17">
        <v>0.1014</v>
      </c>
    </row>
    <row r="54" spans="1:7" ht="10.5" thickBot="1" x14ac:dyDescent="0.25">
      <c r="A54" s="6">
        <f t="shared" si="1"/>
        <v>1958</v>
      </c>
      <c r="B54" s="3" t="s">
        <v>8</v>
      </c>
      <c r="C54" s="3" t="str">
        <f t="shared" si="0"/>
        <v>Octubre 1958</v>
      </c>
      <c r="D54" s="20">
        <v>3.7227754551254398E-2</v>
      </c>
      <c r="E54" s="7">
        <v>3.3E-3</v>
      </c>
      <c r="F54" s="7">
        <v>7.5300000000000006E-2</v>
      </c>
      <c r="G54" s="17">
        <v>8.9200000000000002E-2</v>
      </c>
    </row>
    <row r="55" spans="1:7" ht="10.5" thickBot="1" x14ac:dyDescent="0.25">
      <c r="A55" s="6">
        <f t="shared" si="1"/>
        <v>1958</v>
      </c>
      <c r="B55" s="3" t="s">
        <v>9</v>
      </c>
      <c r="C55" s="3" t="str">
        <f t="shared" si="0"/>
        <v>Noviembre 1958</v>
      </c>
      <c r="D55" s="20">
        <v>3.7210304586619898E-2</v>
      </c>
      <c r="E55" s="7">
        <v>-5.0000000000000001E-4</v>
      </c>
      <c r="F55" s="7">
        <v>7.4800000000000005E-2</v>
      </c>
      <c r="G55" s="17">
        <v>8.5400000000000004E-2</v>
      </c>
    </row>
    <row r="56" spans="1:7" ht="10.5" thickBot="1" x14ac:dyDescent="0.25">
      <c r="A56" s="8">
        <f t="shared" si="1"/>
        <v>1958</v>
      </c>
      <c r="B56" s="3" t="s">
        <v>10</v>
      </c>
      <c r="C56" s="3" t="str">
        <f t="shared" si="0"/>
        <v>Diciembre 1958</v>
      </c>
      <c r="D56" s="20">
        <v>3.7384106234379599E-2</v>
      </c>
      <c r="E56" s="7">
        <v>4.7000000000000002E-3</v>
      </c>
      <c r="F56" s="7">
        <v>7.9799999999999996E-2</v>
      </c>
      <c r="G56" s="17">
        <v>7.9799999999999996E-2</v>
      </c>
    </row>
    <row r="57" spans="1:7" ht="10.5" thickBot="1" x14ac:dyDescent="0.25">
      <c r="A57" s="9">
        <f t="shared" si="1"/>
        <v>1959</v>
      </c>
      <c r="B57" s="10" t="s">
        <v>11</v>
      </c>
      <c r="C57" s="10" t="str">
        <f t="shared" si="0"/>
        <v>Enero 1959</v>
      </c>
      <c r="D57" s="19">
        <v>3.7957861071562099E-2</v>
      </c>
      <c r="E57" s="11">
        <v>1.54E-2</v>
      </c>
      <c r="F57" s="11">
        <v>1.54E-2</v>
      </c>
      <c r="G57" s="12">
        <v>9.4700000000000006E-2</v>
      </c>
    </row>
    <row r="58" spans="1:7" ht="10.5" thickBot="1" x14ac:dyDescent="0.25">
      <c r="A58" s="13">
        <f t="shared" si="1"/>
        <v>1959</v>
      </c>
      <c r="B58" s="10" t="s">
        <v>12</v>
      </c>
      <c r="C58" s="10" t="str">
        <f t="shared" si="0"/>
        <v>Febrero 1959</v>
      </c>
      <c r="D58" s="19">
        <v>3.8305464367081501E-2</v>
      </c>
      <c r="E58" s="11">
        <v>9.1999999999999998E-3</v>
      </c>
      <c r="F58" s="11">
        <v>2.47E-2</v>
      </c>
      <c r="G58" s="12">
        <v>0.10340000000000001</v>
      </c>
    </row>
    <row r="59" spans="1:7" ht="10.5" thickBot="1" x14ac:dyDescent="0.25">
      <c r="A59" s="13">
        <f t="shared" si="1"/>
        <v>1959</v>
      </c>
      <c r="B59" s="10" t="s">
        <v>13</v>
      </c>
      <c r="C59" s="10" t="str">
        <f t="shared" si="0"/>
        <v>Marzo 1959</v>
      </c>
      <c r="D59" s="19">
        <v>3.8470890031816599E-2</v>
      </c>
      <c r="E59" s="11">
        <v>4.3E-3</v>
      </c>
      <c r="F59" s="11">
        <v>2.9100000000000001E-2</v>
      </c>
      <c r="G59" s="12">
        <v>9.0899999999999995E-2</v>
      </c>
    </row>
    <row r="60" spans="1:7" ht="10.5" thickBot="1" x14ac:dyDescent="0.25">
      <c r="A60" s="13">
        <f t="shared" si="1"/>
        <v>1959</v>
      </c>
      <c r="B60" s="10" t="s">
        <v>14</v>
      </c>
      <c r="C60" s="10" t="str">
        <f t="shared" si="0"/>
        <v>Abril 1959</v>
      </c>
      <c r="D60" s="19">
        <v>3.9079544798268098E-2</v>
      </c>
      <c r="E60" s="11">
        <v>1.5800000000000002E-2</v>
      </c>
      <c r="F60" s="11">
        <v>4.5400000000000003E-2</v>
      </c>
      <c r="G60" s="12">
        <v>8.9599999999999999E-2</v>
      </c>
    </row>
    <row r="61" spans="1:7" ht="10.5" thickBot="1" x14ac:dyDescent="0.25">
      <c r="A61" s="13">
        <f t="shared" si="1"/>
        <v>1959</v>
      </c>
      <c r="B61" s="10" t="s">
        <v>15</v>
      </c>
      <c r="C61" s="10" t="str">
        <f t="shared" si="0"/>
        <v>Mayo 1959</v>
      </c>
      <c r="D61" s="19">
        <v>3.9365724218274001E-2</v>
      </c>
      <c r="E61" s="11">
        <v>7.3000000000000001E-3</v>
      </c>
      <c r="F61" s="11">
        <v>5.2999999999999999E-2</v>
      </c>
      <c r="G61" s="12">
        <v>7.6200000000000004E-2</v>
      </c>
    </row>
    <row r="62" spans="1:7" ht="10.5" thickBot="1" x14ac:dyDescent="0.25">
      <c r="A62" s="13">
        <f t="shared" si="1"/>
        <v>1959</v>
      </c>
      <c r="B62" s="10" t="s">
        <v>16</v>
      </c>
      <c r="C62" s="10" t="str">
        <f t="shared" si="0"/>
        <v>Junio 1959</v>
      </c>
      <c r="D62" s="19">
        <v>3.9626775689206202E-2</v>
      </c>
      <c r="E62" s="11">
        <v>6.6E-3</v>
      </c>
      <c r="F62" s="11">
        <v>0.06</v>
      </c>
      <c r="G62" s="12">
        <v>7.8700000000000006E-2</v>
      </c>
    </row>
    <row r="63" spans="1:7" ht="10.5" thickBot="1" x14ac:dyDescent="0.25">
      <c r="A63" s="13">
        <f t="shared" si="1"/>
        <v>1959</v>
      </c>
      <c r="B63" s="10" t="s">
        <v>5</v>
      </c>
      <c r="C63" s="10" t="str">
        <f t="shared" si="0"/>
        <v>Julio 1959</v>
      </c>
      <c r="D63" s="19">
        <v>3.9860605215308598E-2</v>
      </c>
      <c r="E63" s="11">
        <v>5.8999999999999999E-3</v>
      </c>
      <c r="F63" s="11">
        <v>6.6299999999999998E-2</v>
      </c>
      <c r="G63" s="14">
        <v>8.4099999999999994E-2</v>
      </c>
    </row>
    <row r="64" spans="1:7" ht="10.5" thickBot="1" x14ac:dyDescent="0.25">
      <c r="A64" s="13">
        <f t="shared" si="1"/>
        <v>1959</v>
      </c>
      <c r="B64" s="10" t="s">
        <v>6</v>
      </c>
      <c r="C64" s="10" t="str">
        <f t="shared" si="0"/>
        <v>Agosto 1959</v>
      </c>
      <c r="D64" s="19">
        <v>3.9929707075261299E-2</v>
      </c>
      <c r="E64" s="11">
        <v>1.6999999999999999E-3</v>
      </c>
      <c r="F64" s="11">
        <v>6.8099999999999994E-2</v>
      </c>
      <c r="G64" s="14">
        <v>7.7799999999999994E-2</v>
      </c>
    </row>
    <row r="65" spans="1:7" ht="10.5" thickBot="1" x14ac:dyDescent="0.25">
      <c r="A65" s="13">
        <f t="shared" si="1"/>
        <v>1959</v>
      </c>
      <c r="B65" s="10" t="s">
        <v>7</v>
      </c>
      <c r="C65" s="10" t="str">
        <f t="shared" si="0"/>
        <v>Septiembre 1959</v>
      </c>
      <c r="D65" s="19">
        <v>3.9790107358185202E-2</v>
      </c>
      <c r="E65" s="11">
        <v>-3.5000000000000001E-3</v>
      </c>
      <c r="F65" s="11">
        <v>6.4399999999999999E-2</v>
      </c>
      <c r="G65" s="14">
        <v>7.2300000000000003E-2</v>
      </c>
    </row>
    <row r="66" spans="1:7" ht="10.5" thickBot="1" x14ac:dyDescent="0.25">
      <c r="A66" s="13">
        <f t="shared" si="1"/>
        <v>1959</v>
      </c>
      <c r="B66" s="10" t="s">
        <v>8</v>
      </c>
      <c r="C66" s="10" t="str">
        <f t="shared" si="0"/>
        <v>Octubre 1959</v>
      </c>
      <c r="D66" s="19">
        <v>3.9885035165796903E-2</v>
      </c>
      <c r="E66" s="11">
        <v>2.3999999999999998E-3</v>
      </c>
      <c r="F66" s="11">
        <v>6.6900000000000001E-2</v>
      </c>
      <c r="G66" s="14">
        <v>7.1400000000000005E-2</v>
      </c>
    </row>
    <row r="67" spans="1:7" ht="10.5" thickBot="1" x14ac:dyDescent="0.25">
      <c r="A67" s="13">
        <f t="shared" si="1"/>
        <v>1959</v>
      </c>
      <c r="B67" s="10" t="s">
        <v>9</v>
      </c>
      <c r="C67" s="10" t="str">
        <f t="shared" si="0"/>
        <v>Noviembre 1959</v>
      </c>
      <c r="D67" s="19">
        <v>3.9972284988969403E-2</v>
      </c>
      <c r="E67" s="11">
        <v>2.2000000000000001E-3</v>
      </c>
      <c r="F67" s="11">
        <v>6.9199999999999998E-2</v>
      </c>
      <c r="G67" s="14">
        <v>7.4200000000000002E-2</v>
      </c>
    </row>
    <row r="68" spans="1:7" ht="10.5" thickBot="1" x14ac:dyDescent="0.25">
      <c r="A68" s="15">
        <f t="shared" si="1"/>
        <v>1959</v>
      </c>
      <c r="B68" s="10" t="s">
        <v>10</v>
      </c>
      <c r="C68" s="10" t="str">
        <f t="shared" ref="C68:C131" si="2">B68&amp;" "&amp;A68</f>
        <v>Diciembre 1959</v>
      </c>
      <c r="D68" s="19">
        <v>4.0302438319854299E-2</v>
      </c>
      <c r="E68" s="11">
        <v>8.3000000000000001E-3</v>
      </c>
      <c r="F68" s="11">
        <v>7.8100000000000003E-2</v>
      </c>
      <c r="G68" s="14">
        <v>7.8100000000000003E-2</v>
      </c>
    </row>
    <row r="69" spans="1:7" ht="10.5" thickBot="1" x14ac:dyDescent="0.25">
      <c r="A69" s="16">
        <f t="shared" si="1"/>
        <v>1960</v>
      </c>
      <c r="B69" s="3" t="s">
        <v>11</v>
      </c>
      <c r="C69" s="3" t="str">
        <f t="shared" si="2"/>
        <v>Enero 1960</v>
      </c>
      <c r="D69" s="20">
        <v>4.0432964055320403E-2</v>
      </c>
      <c r="E69" s="7">
        <v>3.2000000000000002E-3</v>
      </c>
      <c r="F69" s="7">
        <v>3.2000000000000002E-3</v>
      </c>
      <c r="G69" s="17">
        <v>6.5199999999999994E-2</v>
      </c>
    </row>
    <row r="70" spans="1:7" ht="10.5" thickBot="1" x14ac:dyDescent="0.25">
      <c r="A70" s="6">
        <f t="shared" si="1"/>
        <v>1960</v>
      </c>
      <c r="B70" s="3" t="s">
        <v>12</v>
      </c>
      <c r="C70" s="3" t="str">
        <f t="shared" si="2"/>
        <v>Febrero 1960</v>
      </c>
      <c r="D70" s="20">
        <v>4.0310814302878903E-2</v>
      </c>
      <c r="E70" s="7">
        <v>-3.0000000000000001E-3</v>
      </c>
      <c r="F70" s="7">
        <v>2.0000000000000001E-4</v>
      </c>
      <c r="G70" s="17">
        <v>5.2400000000000002E-2</v>
      </c>
    </row>
    <row r="71" spans="1:7" ht="10.5" thickBot="1" x14ac:dyDescent="0.25">
      <c r="A71" s="6">
        <f t="shared" si="1"/>
        <v>1960</v>
      </c>
      <c r="B71" s="3" t="s">
        <v>13</v>
      </c>
      <c r="C71" s="3" t="str">
        <f t="shared" si="2"/>
        <v>Marzo 1960</v>
      </c>
      <c r="D71" s="20">
        <v>4.0832917244743298E-2</v>
      </c>
      <c r="E71" s="7">
        <v>1.29E-2</v>
      </c>
      <c r="F71" s="7">
        <v>1.32E-2</v>
      </c>
      <c r="G71" s="17">
        <v>6.1400000000000003E-2</v>
      </c>
    </row>
    <row r="72" spans="1:7" ht="10.5" thickBot="1" x14ac:dyDescent="0.25">
      <c r="A72" s="6">
        <f t="shared" si="1"/>
        <v>1960</v>
      </c>
      <c r="B72" s="3" t="s">
        <v>14</v>
      </c>
      <c r="C72" s="3" t="str">
        <f t="shared" si="2"/>
        <v>Abril 1960</v>
      </c>
      <c r="D72" s="20">
        <v>4.1224494451141597E-2</v>
      </c>
      <c r="E72" s="7">
        <v>9.5999999999999992E-3</v>
      </c>
      <c r="F72" s="7">
        <v>2.29E-2</v>
      </c>
      <c r="G72" s="17">
        <v>5.4899999999999997E-2</v>
      </c>
    </row>
    <row r="73" spans="1:7" ht="10.5" thickBot="1" x14ac:dyDescent="0.25">
      <c r="A73" s="6">
        <f t="shared" si="1"/>
        <v>1960</v>
      </c>
      <c r="B73" s="3" t="s">
        <v>15</v>
      </c>
      <c r="C73" s="3" t="str">
        <f t="shared" si="2"/>
        <v>Mayo 1960</v>
      </c>
      <c r="D73" s="20">
        <v>4.1537197817391902E-2</v>
      </c>
      <c r="E73" s="7">
        <v>7.6E-3</v>
      </c>
      <c r="F73" s="7">
        <v>3.0599999999999999E-2</v>
      </c>
      <c r="G73" s="17">
        <v>5.5199999999999999E-2</v>
      </c>
    </row>
    <row r="74" spans="1:7" ht="10.5" thickBot="1" x14ac:dyDescent="0.25">
      <c r="A74" s="6">
        <f t="shared" si="1"/>
        <v>1960</v>
      </c>
      <c r="B74" s="3" t="s">
        <v>16</v>
      </c>
      <c r="C74" s="3" t="str">
        <f t="shared" si="2"/>
        <v>Junio 1960</v>
      </c>
      <c r="D74" s="20">
        <v>4.1580473729685499E-2</v>
      </c>
      <c r="E74" s="7">
        <v>1E-3</v>
      </c>
      <c r="F74" s="7">
        <v>3.1699999999999999E-2</v>
      </c>
      <c r="G74" s="17">
        <v>4.9299999999999997E-2</v>
      </c>
    </row>
    <row r="75" spans="1:7" ht="10.5" thickBot="1" x14ac:dyDescent="0.25">
      <c r="A75" s="6">
        <f t="shared" si="1"/>
        <v>1960</v>
      </c>
      <c r="B75" s="3" t="s">
        <v>5</v>
      </c>
      <c r="C75" s="3" t="str">
        <f t="shared" si="2"/>
        <v>Julio 1960</v>
      </c>
      <c r="D75" s="20">
        <v>4.1771027343494298E-2</v>
      </c>
      <c r="E75" s="7">
        <v>4.5999999999999999E-3</v>
      </c>
      <c r="F75" s="7">
        <v>3.6400000000000002E-2</v>
      </c>
      <c r="G75" s="17">
        <v>4.7899999999999998E-2</v>
      </c>
    </row>
    <row r="76" spans="1:7" ht="10.5" thickBot="1" x14ac:dyDescent="0.25">
      <c r="A76" s="6">
        <f t="shared" si="1"/>
        <v>1960</v>
      </c>
      <c r="B76" s="3" t="s">
        <v>6</v>
      </c>
      <c r="C76" s="3" t="str">
        <f t="shared" si="2"/>
        <v>Agosto 1960</v>
      </c>
      <c r="D76" s="20">
        <v>4.1909929061984999E-2</v>
      </c>
      <c r="E76" s="7">
        <v>3.3E-3</v>
      </c>
      <c r="F76" s="7">
        <v>3.9899999999999998E-2</v>
      </c>
      <c r="G76" s="17">
        <v>4.9599999999999998E-2</v>
      </c>
    </row>
    <row r="77" spans="1:7" ht="10.5" thickBot="1" x14ac:dyDescent="0.25">
      <c r="A77" s="6">
        <f t="shared" si="1"/>
        <v>1960</v>
      </c>
      <c r="B77" s="3" t="s">
        <v>7</v>
      </c>
      <c r="C77" s="3" t="str">
        <f t="shared" si="2"/>
        <v>Septiembre 1960</v>
      </c>
      <c r="D77" s="20">
        <v>4.2005554868181999E-2</v>
      </c>
      <c r="E77" s="7">
        <v>2.3E-3</v>
      </c>
      <c r="F77" s="7">
        <v>4.2299999999999997E-2</v>
      </c>
      <c r="G77" s="17">
        <v>5.57E-2</v>
      </c>
    </row>
    <row r="78" spans="1:7" ht="10.5" thickBot="1" x14ac:dyDescent="0.25">
      <c r="A78" s="6">
        <f t="shared" si="1"/>
        <v>1960</v>
      </c>
      <c r="B78" s="3" t="s">
        <v>8</v>
      </c>
      <c r="C78" s="3" t="str">
        <f t="shared" si="2"/>
        <v>Octubre 1960</v>
      </c>
      <c r="D78" s="20">
        <v>4.2327332216042297E-2</v>
      </c>
      <c r="E78" s="7">
        <v>7.7000000000000002E-3</v>
      </c>
      <c r="F78" s="7">
        <v>5.0200000000000002E-2</v>
      </c>
      <c r="G78" s="17">
        <v>6.1199999999999997E-2</v>
      </c>
    </row>
    <row r="79" spans="1:7" ht="10.5" thickBot="1" x14ac:dyDescent="0.25">
      <c r="A79" s="6">
        <f t="shared" si="1"/>
        <v>1960</v>
      </c>
      <c r="B79" s="3" t="s">
        <v>9</v>
      </c>
      <c r="C79" s="3" t="str">
        <f t="shared" si="2"/>
        <v>Noviembre 1960</v>
      </c>
      <c r="D79" s="20">
        <v>4.2822911211662297E-2</v>
      </c>
      <c r="E79" s="7">
        <v>1.17E-2</v>
      </c>
      <c r="F79" s="7">
        <v>6.25E-2</v>
      </c>
      <c r="G79" s="17">
        <v>7.1300000000000002E-2</v>
      </c>
    </row>
    <row r="80" spans="1:7" ht="10.5" thickBot="1" x14ac:dyDescent="0.25">
      <c r="A80" s="8">
        <f t="shared" si="1"/>
        <v>1960</v>
      </c>
      <c r="B80" s="3" t="s">
        <v>10</v>
      </c>
      <c r="C80" s="3" t="str">
        <f t="shared" si="2"/>
        <v>Diciembre 1960</v>
      </c>
      <c r="D80" s="20">
        <v>4.32661403133787E-2</v>
      </c>
      <c r="E80" s="7">
        <v>1.04E-2</v>
      </c>
      <c r="F80" s="7">
        <v>7.3499999999999996E-2</v>
      </c>
      <c r="G80" s="17">
        <v>7.3499999999999996E-2</v>
      </c>
    </row>
    <row r="81" spans="1:7" ht="10.5" thickBot="1" x14ac:dyDescent="0.25">
      <c r="A81" s="9">
        <f t="shared" si="1"/>
        <v>1961</v>
      </c>
      <c r="B81" s="10" t="s">
        <v>11</v>
      </c>
      <c r="C81" s="10" t="str">
        <f t="shared" si="2"/>
        <v>Enero 1961</v>
      </c>
      <c r="D81" s="19">
        <v>4.3500667838066498E-2</v>
      </c>
      <c r="E81" s="11">
        <v>5.4000000000000003E-3</v>
      </c>
      <c r="F81" s="11">
        <v>5.4000000000000003E-3</v>
      </c>
      <c r="G81" s="12">
        <v>7.5899999999999995E-2</v>
      </c>
    </row>
    <row r="82" spans="1:7" ht="10.5" thickBot="1" x14ac:dyDescent="0.25">
      <c r="A82" s="13">
        <f t="shared" si="1"/>
        <v>1961</v>
      </c>
      <c r="B82" s="10" t="s">
        <v>12</v>
      </c>
      <c r="C82" s="10" t="str">
        <f t="shared" si="2"/>
        <v>Febrero 1961</v>
      </c>
      <c r="D82" s="19">
        <v>4.3682845468850699E-2</v>
      </c>
      <c r="E82" s="11">
        <v>4.1999999999999997E-3</v>
      </c>
      <c r="F82" s="11">
        <v>9.5999999999999992E-3</v>
      </c>
      <c r="G82" s="12">
        <v>8.3599999999999994E-2</v>
      </c>
    </row>
    <row r="83" spans="1:7" ht="10.5" thickBot="1" x14ac:dyDescent="0.25">
      <c r="A83" s="13">
        <f t="shared" si="1"/>
        <v>1961</v>
      </c>
      <c r="B83" s="10" t="s">
        <v>13</v>
      </c>
      <c r="C83" s="10" t="str">
        <f t="shared" si="2"/>
        <v>Marzo 1961</v>
      </c>
      <c r="D83" s="19">
        <v>4.43871260414994E-2</v>
      </c>
      <c r="E83" s="11">
        <v>1.61E-2</v>
      </c>
      <c r="F83" s="11">
        <v>2.5899999999999999E-2</v>
      </c>
      <c r="G83" s="12">
        <v>8.6999999999999994E-2</v>
      </c>
    </row>
    <row r="84" spans="1:7" ht="10.5" thickBot="1" x14ac:dyDescent="0.25">
      <c r="A84" s="13">
        <f t="shared" si="1"/>
        <v>1961</v>
      </c>
      <c r="B84" s="10" t="s">
        <v>14</v>
      </c>
      <c r="C84" s="10" t="str">
        <f t="shared" si="2"/>
        <v>Abril 1961</v>
      </c>
      <c r="D84" s="19">
        <v>4.5292430206737601E-2</v>
      </c>
      <c r="E84" s="11">
        <v>2.0400000000000001E-2</v>
      </c>
      <c r="F84" s="11">
        <v>4.6800000000000001E-2</v>
      </c>
      <c r="G84" s="12">
        <v>9.8699999999999996E-2</v>
      </c>
    </row>
    <row r="85" spans="1:7" ht="10.5" thickBot="1" x14ac:dyDescent="0.25">
      <c r="A85" s="13">
        <f t="shared" si="1"/>
        <v>1961</v>
      </c>
      <c r="B85" s="10" t="s">
        <v>15</v>
      </c>
      <c r="C85" s="10" t="str">
        <f t="shared" si="2"/>
        <v>Mayo 1961</v>
      </c>
      <c r="D85" s="19">
        <v>4.5788009202357503E-2</v>
      </c>
      <c r="E85" s="11">
        <v>1.0999999999999999E-2</v>
      </c>
      <c r="F85" s="11">
        <v>5.8299999999999998E-2</v>
      </c>
      <c r="G85" s="12">
        <v>0.1023</v>
      </c>
    </row>
    <row r="86" spans="1:7" ht="10.5" thickBot="1" x14ac:dyDescent="0.25">
      <c r="A86" s="13">
        <f t="shared" ref="A86:A149" si="3">A74+1</f>
        <v>1961</v>
      </c>
      <c r="B86" s="10" t="s">
        <v>16</v>
      </c>
      <c r="C86" s="10" t="str">
        <f t="shared" si="2"/>
        <v>Junio 1961</v>
      </c>
      <c r="D86" s="19">
        <v>4.58487350792856E-2</v>
      </c>
      <c r="E86" s="11">
        <v>1.2999999999999999E-3</v>
      </c>
      <c r="F86" s="11">
        <v>5.9700000000000003E-2</v>
      </c>
      <c r="G86" s="12">
        <v>0.1027</v>
      </c>
    </row>
    <row r="87" spans="1:7" ht="10.5" thickBot="1" x14ac:dyDescent="0.25">
      <c r="A87" s="13">
        <f t="shared" si="3"/>
        <v>1961</v>
      </c>
      <c r="B87" s="10" t="s">
        <v>5</v>
      </c>
      <c r="C87" s="10" t="str">
        <f t="shared" si="2"/>
        <v>Julio 1961</v>
      </c>
      <c r="D87" s="19">
        <v>4.5961112851531802E-2</v>
      </c>
      <c r="E87" s="11">
        <v>2.3999999999999998E-3</v>
      </c>
      <c r="F87" s="11">
        <v>6.2300000000000001E-2</v>
      </c>
      <c r="G87" s="14">
        <v>0.1003</v>
      </c>
    </row>
    <row r="88" spans="1:7" ht="10.5" thickBot="1" x14ac:dyDescent="0.25">
      <c r="A88" s="13">
        <f t="shared" si="3"/>
        <v>1961</v>
      </c>
      <c r="B88" s="10" t="s">
        <v>6</v>
      </c>
      <c r="C88" s="10" t="str">
        <f t="shared" si="2"/>
        <v>Agosto 1961</v>
      </c>
      <c r="D88" s="19">
        <v>4.5429237929472101E-2</v>
      </c>
      <c r="E88" s="11">
        <v>-1.1599999999999999E-2</v>
      </c>
      <c r="F88" s="11">
        <v>0.05</v>
      </c>
      <c r="G88" s="14">
        <v>8.4000000000000005E-2</v>
      </c>
    </row>
    <row r="89" spans="1:7" ht="10.5" thickBot="1" x14ac:dyDescent="0.25">
      <c r="A89" s="13">
        <f t="shared" si="3"/>
        <v>1961</v>
      </c>
      <c r="B89" s="10" t="s">
        <v>7</v>
      </c>
      <c r="C89" s="10" t="str">
        <f t="shared" si="2"/>
        <v>Septiembre 1961</v>
      </c>
      <c r="D89" s="19">
        <v>4.51416625122954E-2</v>
      </c>
      <c r="E89" s="11">
        <v>-6.3E-3</v>
      </c>
      <c r="F89" s="11">
        <v>4.3400000000000001E-2</v>
      </c>
      <c r="G89" s="14">
        <v>7.4700000000000003E-2</v>
      </c>
    </row>
    <row r="90" spans="1:7" ht="10.5" thickBot="1" x14ac:dyDescent="0.25">
      <c r="A90" s="13">
        <f t="shared" si="3"/>
        <v>1961</v>
      </c>
      <c r="B90" s="10" t="s">
        <v>8</v>
      </c>
      <c r="C90" s="10" t="str">
        <f t="shared" si="2"/>
        <v>Octubre 1961</v>
      </c>
      <c r="D90" s="19">
        <v>4.5211462370833497E-2</v>
      </c>
      <c r="E90" s="11">
        <v>1.5E-3</v>
      </c>
      <c r="F90" s="11">
        <v>4.4999999999999998E-2</v>
      </c>
      <c r="G90" s="14">
        <v>6.8099999999999994E-2</v>
      </c>
    </row>
    <row r="91" spans="1:7" ht="10.5" thickBot="1" x14ac:dyDescent="0.25">
      <c r="A91" s="13">
        <f t="shared" si="3"/>
        <v>1961</v>
      </c>
      <c r="B91" s="10" t="s">
        <v>9</v>
      </c>
      <c r="C91" s="10" t="str">
        <f t="shared" si="2"/>
        <v>Noviembre 1961</v>
      </c>
      <c r="D91" s="19">
        <v>4.5445989895521198E-2</v>
      </c>
      <c r="E91" s="11">
        <v>5.1999999999999998E-3</v>
      </c>
      <c r="F91" s="11">
        <v>5.04E-2</v>
      </c>
      <c r="G91" s="14">
        <v>6.13E-2</v>
      </c>
    </row>
    <row r="92" spans="1:7" ht="10.5" thickBot="1" x14ac:dyDescent="0.25">
      <c r="A92" s="15">
        <f t="shared" si="3"/>
        <v>1961</v>
      </c>
      <c r="B92" s="10" t="s">
        <v>10</v>
      </c>
      <c r="C92" s="10" t="str">
        <f t="shared" si="2"/>
        <v>Diciembre 1961</v>
      </c>
      <c r="D92" s="19">
        <v>4.5749619280161601E-2</v>
      </c>
      <c r="E92" s="11">
        <v>6.7000000000000002E-3</v>
      </c>
      <c r="F92" s="11">
        <v>5.74E-2</v>
      </c>
      <c r="G92" s="14">
        <v>5.74E-2</v>
      </c>
    </row>
    <row r="93" spans="1:7" ht="10.5" thickBot="1" x14ac:dyDescent="0.25">
      <c r="A93" s="16">
        <f t="shared" si="3"/>
        <v>1962</v>
      </c>
      <c r="B93" s="3" t="s">
        <v>11</v>
      </c>
      <c r="C93" s="3" t="str">
        <f t="shared" si="2"/>
        <v>Enero 1962</v>
      </c>
      <c r="D93" s="20">
        <v>4.5949944874165698E-2</v>
      </c>
      <c r="E93" s="7">
        <v>4.4000000000000003E-3</v>
      </c>
      <c r="F93" s="7">
        <v>4.4000000000000003E-3</v>
      </c>
      <c r="G93" s="17">
        <v>5.6300000000000003E-2</v>
      </c>
    </row>
    <row r="94" spans="1:7" ht="10.5" thickBot="1" x14ac:dyDescent="0.25">
      <c r="A94" s="6">
        <f t="shared" si="3"/>
        <v>1962</v>
      </c>
      <c r="B94" s="3" t="s">
        <v>12</v>
      </c>
      <c r="C94" s="3" t="str">
        <f t="shared" si="2"/>
        <v>Febrero 1962</v>
      </c>
      <c r="D94" s="20">
        <v>4.5992522787873899E-2</v>
      </c>
      <c r="E94" s="7">
        <v>8.9999999999999998E-4</v>
      </c>
      <c r="F94" s="7">
        <v>5.3E-3</v>
      </c>
      <c r="G94" s="17">
        <v>5.2900000000000003E-2</v>
      </c>
    </row>
    <row r="95" spans="1:7" ht="10.5" thickBot="1" x14ac:dyDescent="0.25">
      <c r="A95" s="6">
        <f t="shared" si="3"/>
        <v>1962</v>
      </c>
      <c r="B95" s="3" t="s">
        <v>13</v>
      </c>
      <c r="C95" s="3" t="str">
        <f t="shared" si="2"/>
        <v>Marzo 1962</v>
      </c>
      <c r="D95" s="20">
        <v>4.6400851960321399E-2</v>
      </c>
      <c r="E95" s="7">
        <v>8.8999999999999999E-3</v>
      </c>
      <c r="F95" s="7">
        <v>1.4200000000000001E-2</v>
      </c>
      <c r="G95" s="17">
        <v>4.5400000000000003E-2</v>
      </c>
    </row>
    <row r="96" spans="1:7" ht="10.5" thickBot="1" x14ac:dyDescent="0.25">
      <c r="A96" s="6">
        <f t="shared" si="3"/>
        <v>1962</v>
      </c>
      <c r="B96" s="3" t="s">
        <v>14</v>
      </c>
      <c r="C96" s="3" t="str">
        <f t="shared" si="2"/>
        <v>Abril 1962</v>
      </c>
      <c r="D96" s="20">
        <v>4.6949478848430197E-2</v>
      </c>
      <c r="E96" s="7">
        <v>1.18E-2</v>
      </c>
      <c r="F96" s="7">
        <v>2.6200000000000001E-2</v>
      </c>
      <c r="G96" s="17">
        <v>3.6600000000000001E-2</v>
      </c>
    </row>
    <row r="97" spans="1:7" ht="10.5" thickBot="1" x14ac:dyDescent="0.25">
      <c r="A97" s="6">
        <f t="shared" si="3"/>
        <v>1962</v>
      </c>
      <c r="B97" s="3" t="s">
        <v>15</v>
      </c>
      <c r="C97" s="3" t="str">
        <f t="shared" si="2"/>
        <v>Mayo 1962</v>
      </c>
      <c r="D97" s="20">
        <v>4.6992056762138398E-2</v>
      </c>
      <c r="E97" s="7">
        <v>8.9999999999999998E-4</v>
      </c>
      <c r="F97" s="7">
        <v>2.7199999999999998E-2</v>
      </c>
      <c r="G97" s="17">
        <v>2.63E-2</v>
      </c>
    </row>
    <row r="98" spans="1:7" ht="10.5" thickBot="1" x14ac:dyDescent="0.25">
      <c r="A98" s="6">
        <f t="shared" si="3"/>
        <v>1962</v>
      </c>
      <c r="B98" s="3" t="s">
        <v>16</v>
      </c>
      <c r="C98" s="3" t="str">
        <f t="shared" si="2"/>
        <v>Junio 1962</v>
      </c>
      <c r="D98" s="20">
        <v>4.70262586928221E-2</v>
      </c>
      <c r="E98" s="7">
        <v>6.9999999999999999E-4</v>
      </c>
      <c r="F98" s="7">
        <v>2.7900000000000001E-2</v>
      </c>
      <c r="G98" s="17">
        <v>2.5700000000000001E-2</v>
      </c>
    </row>
    <row r="99" spans="1:7" ht="10.5" thickBot="1" x14ac:dyDescent="0.25">
      <c r="A99" s="6">
        <f t="shared" si="3"/>
        <v>1962</v>
      </c>
      <c r="B99" s="3" t="s">
        <v>5</v>
      </c>
      <c r="C99" s="3" t="str">
        <f t="shared" si="2"/>
        <v>Julio 1962</v>
      </c>
      <c r="D99" s="20">
        <v>4.7477863777563099E-2</v>
      </c>
      <c r="E99" s="7">
        <v>9.5999999999999992E-3</v>
      </c>
      <c r="F99" s="7">
        <v>3.78E-2</v>
      </c>
      <c r="G99" s="17">
        <v>3.3000000000000002E-2</v>
      </c>
    </row>
    <row r="100" spans="1:7" ht="10.5" thickBot="1" x14ac:dyDescent="0.25">
      <c r="A100" s="6">
        <f t="shared" si="3"/>
        <v>1962</v>
      </c>
      <c r="B100" s="3" t="s">
        <v>6</v>
      </c>
      <c r="C100" s="3" t="str">
        <f t="shared" si="2"/>
        <v>Agosto 1962</v>
      </c>
      <c r="D100" s="20">
        <v>4.7495313742197599E-2</v>
      </c>
      <c r="E100" s="7">
        <v>4.0000000000000002E-4</v>
      </c>
      <c r="F100" s="7">
        <v>3.8199999999999998E-2</v>
      </c>
      <c r="G100" s="17">
        <v>4.5499999999999999E-2</v>
      </c>
    </row>
    <row r="101" spans="1:7" ht="10.5" thickBot="1" x14ac:dyDescent="0.25">
      <c r="A101" s="6">
        <f t="shared" si="3"/>
        <v>1962</v>
      </c>
      <c r="B101" s="3" t="s">
        <v>7</v>
      </c>
      <c r="C101" s="3" t="str">
        <f t="shared" si="2"/>
        <v>Septiembre 1962</v>
      </c>
      <c r="D101" s="20">
        <v>4.7782191160788801E-2</v>
      </c>
      <c r="E101" s="7">
        <v>6.0000000000000001E-3</v>
      </c>
      <c r="F101" s="7">
        <v>4.4400000000000002E-2</v>
      </c>
      <c r="G101" s="17">
        <v>5.8500000000000003E-2</v>
      </c>
    </row>
    <row r="102" spans="1:7" ht="10.5" thickBot="1" x14ac:dyDescent="0.25">
      <c r="A102" s="6">
        <f t="shared" si="3"/>
        <v>1962</v>
      </c>
      <c r="B102" s="3" t="s">
        <v>8</v>
      </c>
      <c r="C102" s="3" t="str">
        <f t="shared" si="2"/>
        <v>Octubre 1962</v>
      </c>
      <c r="D102" s="20">
        <v>4.7929468862304099E-2</v>
      </c>
      <c r="E102" s="7">
        <v>3.0999999999999999E-3</v>
      </c>
      <c r="F102" s="7">
        <v>4.7600000000000003E-2</v>
      </c>
      <c r="G102" s="17">
        <v>6.0100000000000001E-2</v>
      </c>
    </row>
    <row r="103" spans="1:7" ht="10.5" thickBot="1" x14ac:dyDescent="0.25">
      <c r="A103" s="6">
        <f t="shared" si="3"/>
        <v>1962</v>
      </c>
      <c r="B103" s="3" t="s">
        <v>9</v>
      </c>
      <c r="C103" s="3" t="str">
        <f t="shared" si="2"/>
        <v>Noviembre 1962</v>
      </c>
      <c r="D103" s="20">
        <v>4.8242172228554397E-2</v>
      </c>
      <c r="E103" s="7">
        <v>6.4999999999999997E-3</v>
      </c>
      <c r="F103" s="7">
        <v>5.45E-2</v>
      </c>
      <c r="G103" s="17">
        <v>6.1499999999999999E-2</v>
      </c>
    </row>
    <row r="104" spans="1:7" ht="10.5" thickBot="1" x14ac:dyDescent="0.25">
      <c r="A104" s="8">
        <f t="shared" si="3"/>
        <v>1962</v>
      </c>
      <c r="B104" s="3" t="s">
        <v>10</v>
      </c>
      <c r="C104" s="3" t="str">
        <f t="shared" si="2"/>
        <v>Diciembre 1962</v>
      </c>
      <c r="D104" s="20">
        <v>4.86330514363673E-2</v>
      </c>
      <c r="E104" s="7">
        <v>8.0999999999999996E-3</v>
      </c>
      <c r="F104" s="7">
        <v>6.3E-2</v>
      </c>
      <c r="G104" s="17">
        <v>6.3E-2</v>
      </c>
    </row>
    <row r="105" spans="1:7" ht="10.5" thickBot="1" x14ac:dyDescent="0.25">
      <c r="A105" s="9">
        <f t="shared" si="3"/>
        <v>1963</v>
      </c>
      <c r="B105" s="10" t="s">
        <v>11</v>
      </c>
      <c r="C105" s="10" t="str">
        <f t="shared" si="2"/>
        <v>Enero 1963</v>
      </c>
      <c r="D105" s="19">
        <v>5.0449941754112097E-2</v>
      </c>
      <c r="E105" s="11">
        <v>3.7400000000000003E-2</v>
      </c>
      <c r="F105" s="11">
        <v>3.7400000000000003E-2</v>
      </c>
      <c r="G105" s="12">
        <v>9.7900000000000001E-2</v>
      </c>
    </row>
    <row r="106" spans="1:7" ht="10.5" thickBot="1" x14ac:dyDescent="0.25">
      <c r="A106" s="13">
        <f t="shared" si="3"/>
        <v>1963</v>
      </c>
      <c r="B106" s="10" t="s">
        <v>12</v>
      </c>
      <c r="C106" s="10" t="str">
        <f t="shared" si="2"/>
        <v>Febrero 1963</v>
      </c>
      <c r="D106" s="19">
        <v>5.3509269553833602E-2</v>
      </c>
      <c r="E106" s="11">
        <v>6.0600000000000001E-2</v>
      </c>
      <c r="F106" s="11">
        <v>0.1003</v>
      </c>
      <c r="G106" s="12">
        <v>0.16339999999999999</v>
      </c>
    </row>
    <row r="107" spans="1:7" ht="10.5" thickBot="1" x14ac:dyDescent="0.25">
      <c r="A107" s="13">
        <f t="shared" si="3"/>
        <v>1963</v>
      </c>
      <c r="B107" s="10" t="s">
        <v>13</v>
      </c>
      <c r="C107" s="10" t="str">
        <f t="shared" si="2"/>
        <v>Marzo 1963</v>
      </c>
      <c r="D107" s="19">
        <v>5.6281021936378503E-2</v>
      </c>
      <c r="E107" s="11">
        <v>5.1799999999999999E-2</v>
      </c>
      <c r="F107" s="11">
        <v>0.1573</v>
      </c>
      <c r="G107" s="12">
        <v>0.21290000000000001</v>
      </c>
    </row>
    <row r="108" spans="1:7" ht="10.5" thickBot="1" x14ac:dyDescent="0.25">
      <c r="A108" s="13">
        <f t="shared" si="3"/>
        <v>1963</v>
      </c>
      <c r="B108" s="10" t="s">
        <v>14</v>
      </c>
      <c r="C108" s="10" t="str">
        <f t="shared" si="2"/>
        <v>Abril 1963</v>
      </c>
      <c r="D108" s="19">
        <v>5.8723318986623897E-2</v>
      </c>
      <c r="E108" s="11">
        <v>4.3400000000000001E-2</v>
      </c>
      <c r="F108" s="11">
        <v>0.20749999999999999</v>
      </c>
      <c r="G108" s="12">
        <v>0.25080000000000002</v>
      </c>
    </row>
    <row r="109" spans="1:7" ht="10.5" thickBot="1" x14ac:dyDescent="0.25">
      <c r="A109" s="13">
        <f t="shared" si="3"/>
        <v>1963</v>
      </c>
      <c r="B109" s="10" t="s">
        <v>15</v>
      </c>
      <c r="C109" s="10" t="str">
        <f t="shared" si="2"/>
        <v>Mayo 1963</v>
      </c>
      <c r="D109" s="19">
        <v>5.9453425506931598E-2</v>
      </c>
      <c r="E109" s="11">
        <v>1.24E-2</v>
      </c>
      <c r="F109" s="11">
        <v>0.2225</v>
      </c>
      <c r="G109" s="12">
        <v>0.26519999999999999</v>
      </c>
    </row>
    <row r="110" spans="1:7" ht="10.5" thickBot="1" x14ac:dyDescent="0.25">
      <c r="A110" s="13">
        <f t="shared" si="3"/>
        <v>1963</v>
      </c>
      <c r="B110" s="10" t="s">
        <v>16</v>
      </c>
      <c r="C110" s="10" t="str">
        <f t="shared" si="2"/>
        <v>Junio 1963</v>
      </c>
      <c r="D110" s="19">
        <v>6.0774736829056403E-2</v>
      </c>
      <c r="E110" s="11">
        <v>2.2200000000000001E-2</v>
      </c>
      <c r="F110" s="11">
        <v>0.24970000000000001</v>
      </c>
      <c r="G110" s="12">
        <v>0.29239999999999999</v>
      </c>
    </row>
    <row r="111" spans="1:7" ht="10.5" thickBot="1" x14ac:dyDescent="0.25">
      <c r="A111" s="13">
        <f t="shared" si="3"/>
        <v>1963</v>
      </c>
      <c r="B111" s="10" t="s">
        <v>5</v>
      </c>
      <c r="C111" s="10" t="str">
        <f t="shared" si="2"/>
        <v>Julio 1963</v>
      </c>
      <c r="D111" s="19">
        <v>6.1243791878431902E-2</v>
      </c>
      <c r="E111" s="11">
        <v>7.7000000000000002E-3</v>
      </c>
      <c r="F111" s="11">
        <v>0.25929999999999997</v>
      </c>
      <c r="G111" s="14">
        <v>0.28989999999999999</v>
      </c>
    </row>
    <row r="112" spans="1:7" ht="10.5" thickBot="1" x14ac:dyDescent="0.25">
      <c r="A112" s="13">
        <f t="shared" si="3"/>
        <v>1963</v>
      </c>
      <c r="B112" s="10" t="s">
        <v>6</v>
      </c>
      <c r="C112" s="10" t="str">
        <f t="shared" si="2"/>
        <v>Agosto 1963</v>
      </c>
      <c r="D112" s="19">
        <v>6.1400143561557097E-2</v>
      </c>
      <c r="E112" s="11">
        <v>2.5999999999999999E-3</v>
      </c>
      <c r="F112" s="11">
        <v>0.26250000000000001</v>
      </c>
      <c r="G112" s="14">
        <v>0.2928</v>
      </c>
    </row>
    <row r="113" spans="1:7" ht="10.5" thickBot="1" x14ac:dyDescent="0.25">
      <c r="A113" s="13">
        <f t="shared" si="3"/>
        <v>1963</v>
      </c>
      <c r="B113" s="10" t="s">
        <v>7</v>
      </c>
      <c r="C113" s="10" t="str">
        <f t="shared" si="2"/>
        <v>Septiembre 1963</v>
      </c>
      <c r="D113" s="19">
        <v>6.2033926277082298E-2</v>
      </c>
      <c r="E113" s="11">
        <v>1.03E-2</v>
      </c>
      <c r="F113" s="11">
        <v>0.27560000000000001</v>
      </c>
      <c r="G113" s="14">
        <v>0.29830000000000001</v>
      </c>
    </row>
    <row r="114" spans="1:7" ht="10.5" thickBot="1" x14ac:dyDescent="0.25">
      <c r="A114" s="13">
        <f t="shared" si="3"/>
        <v>1963</v>
      </c>
      <c r="B114" s="10" t="s">
        <v>8</v>
      </c>
      <c r="C114" s="10" t="str">
        <f t="shared" si="2"/>
        <v>Octubre 1963</v>
      </c>
      <c r="D114" s="19">
        <v>6.3052306213152096E-2</v>
      </c>
      <c r="E114" s="11">
        <v>1.6400000000000001E-2</v>
      </c>
      <c r="F114" s="11">
        <v>0.29649999999999999</v>
      </c>
      <c r="G114" s="14">
        <v>0.3155</v>
      </c>
    </row>
    <row r="115" spans="1:7" ht="10.5" thickBot="1" x14ac:dyDescent="0.25">
      <c r="A115" s="13">
        <f t="shared" si="3"/>
        <v>1963</v>
      </c>
      <c r="B115" s="10" t="s">
        <v>9</v>
      </c>
      <c r="C115" s="10" t="str">
        <f t="shared" si="2"/>
        <v>Noviembre 1963</v>
      </c>
      <c r="D115" s="19">
        <v>6.4375013532447595E-2</v>
      </c>
      <c r="E115" s="11">
        <v>2.1000000000000001E-2</v>
      </c>
      <c r="F115" s="11">
        <v>0.32369999999999999</v>
      </c>
      <c r="G115" s="14">
        <v>0.33439999999999998</v>
      </c>
    </row>
    <row r="116" spans="1:7" ht="10.5" thickBot="1" x14ac:dyDescent="0.25">
      <c r="A116" s="15">
        <f t="shared" si="3"/>
        <v>1963</v>
      </c>
      <c r="B116" s="10" t="s">
        <v>10</v>
      </c>
      <c r="C116" s="10" t="str">
        <f t="shared" si="2"/>
        <v>Diciembre 1963</v>
      </c>
      <c r="D116" s="19">
        <v>6.4974594317289205E-2</v>
      </c>
      <c r="E116" s="11">
        <v>9.2999999999999992E-3</v>
      </c>
      <c r="F116" s="11">
        <v>0.33600000000000002</v>
      </c>
      <c r="G116" s="14">
        <v>0.33600000000000002</v>
      </c>
    </row>
    <row r="117" spans="1:7" ht="10.5" thickBot="1" x14ac:dyDescent="0.25">
      <c r="A117" s="16">
        <f t="shared" si="3"/>
        <v>1964</v>
      </c>
      <c r="B117" s="3" t="s">
        <v>11</v>
      </c>
      <c r="C117" s="3" t="str">
        <f t="shared" si="2"/>
        <v>Enero 1964</v>
      </c>
      <c r="D117" s="20">
        <v>6.5921778397650205E-2</v>
      </c>
      <c r="E117" s="7">
        <v>1.46E-2</v>
      </c>
      <c r="F117" s="7">
        <v>1.46E-2</v>
      </c>
      <c r="G117" s="17">
        <v>0.30669999999999997</v>
      </c>
    </row>
    <row r="118" spans="1:7" ht="10.5" thickBot="1" x14ac:dyDescent="0.25">
      <c r="A118" s="6">
        <f t="shared" si="3"/>
        <v>1964</v>
      </c>
      <c r="B118" s="3" t="s">
        <v>12</v>
      </c>
      <c r="C118" s="3" t="str">
        <f t="shared" si="2"/>
        <v>Febrero 1964</v>
      </c>
      <c r="D118" s="20">
        <v>6.6285435660633302E-2</v>
      </c>
      <c r="E118" s="7">
        <v>5.4999999999999997E-3</v>
      </c>
      <c r="F118" s="7">
        <v>2.0199999999999999E-2</v>
      </c>
      <c r="G118" s="17">
        <v>0.23880000000000001</v>
      </c>
    </row>
    <row r="119" spans="1:7" ht="10.5" thickBot="1" x14ac:dyDescent="0.25">
      <c r="A119" s="6">
        <f t="shared" si="3"/>
        <v>1964</v>
      </c>
      <c r="B119" s="3" t="s">
        <v>13</v>
      </c>
      <c r="C119" s="3" t="str">
        <f t="shared" si="2"/>
        <v>Marzo 1964</v>
      </c>
      <c r="D119" s="20">
        <v>6.7823824542811301E-2</v>
      </c>
      <c r="E119" s="7"/>
      <c r="F119" s="7">
        <v>4.3900000000000002E-2</v>
      </c>
      <c r="G119" s="17">
        <v>0.2051</v>
      </c>
    </row>
    <row r="120" spans="1:7" ht="10.5" thickBot="1" x14ac:dyDescent="0.25">
      <c r="A120" s="6">
        <f t="shared" si="3"/>
        <v>1964</v>
      </c>
      <c r="B120" s="3" t="s">
        <v>14</v>
      </c>
      <c r="C120" s="3" t="str">
        <f t="shared" si="2"/>
        <v>Abril 1964</v>
      </c>
      <c r="D120" s="20">
        <v>6.9397811352843702E-2</v>
      </c>
      <c r="E120" s="7">
        <v>2.3199999999999998E-2</v>
      </c>
      <c r="F120" s="7">
        <v>6.8099999999999994E-2</v>
      </c>
      <c r="G120" s="17">
        <v>0.18179999999999999</v>
      </c>
    </row>
    <row r="121" spans="1:7" ht="10.5" thickBot="1" x14ac:dyDescent="0.25">
      <c r="A121" s="6">
        <f t="shared" si="3"/>
        <v>1964</v>
      </c>
      <c r="B121" s="3" t="s">
        <v>15</v>
      </c>
      <c r="C121" s="3" t="str">
        <f t="shared" si="2"/>
        <v>Mayo 1964</v>
      </c>
      <c r="D121" s="20">
        <v>7.1599298891133006E-2</v>
      </c>
      <c r="E121" s="7">
        <v>3.1699999999999999E-2</v>
      </c>
      <c r="F121" s="7">
        <v>0.10199999999999999</v>
      </c>
      <c r="G121" s="17">
        <v>0.20430000000000001</v>
      </c>
    </row>
    <row r="122" spans="1:7" ht="10.5" thickBot="1" x14ac:dyDescent="0.25">
      <c r="A122" s="6">
        <f t="shared" si="3"/>
        <v>1964</v>
      </c>
      <c r="B122" s="3" t="s">
        <v>16</v>
      </c>
      <c r="C122" s="3" t="str">
        <f t="shared" si="2"/>
        <v>Junio 1964</v>
      </c>
      <c r="D122" s="20">
        <v>7.2677706705545395E-2</v>
      </c>
      <c r="E122" s="7">
        <v>1.5100000000000001E-2</v>
      </c>
      <c r="F122" s="7">
        <v>0.1186</v>
      </c>
      <c r="G122" s="17">
        <v>0.1958</v>
      </c>
    </row>
    <row r="123" spans="1:7" ht="10.5" thickBot="1" x14ac:dyDescent="0.25">
      <c r="A123" s="6">
        <f t="shared" si="3"/>
        <v>1964</v>
      </c>
      <c r="B123" s="3" t="s">
        <v>5</v>
      </c>
      <c r="C123" s="3" t="str">
        <f t="shared" si="2"/>
        <v>Julio 1964</v>
      </c>
      <c r="D123" s="20">
        <v>7.2066957943337701E-2</v>
      </c>
      <c r="E123" s="7">
        <v>-8.3999999999999995E-3</v>
      </c>
      <c r="F123" s="7">
        <v>0.10920000000000001</v>
      </c>
      <c r="G123" s="17">
        <v>0.1767</v>
      </c>
    </row>
    <row r="124" spans="1:7" ht="10.5" thickBot="1" x14ac:dyDescent="0.25">
      <c r="A124" s="6">
        <f t="shared" si="3"/>
        <v>1964</v>
      </c>
      <c r="B124" s="3" t="s">
        <v>6</v>
      </c>
      <c r="C124" s="3" t="str">
        <f t="shared" si="2"/>
        <v>Agosto 1964</v>
      </c>
      <c r="D124" s="20">
        <v>7.0996228113364507E-2</v>
      </c>
      <c r="E124" s="7">
        <v>-1.49E-2</v>
      </c>
      <c r="F124" s="7">
        <v>9.2700000000000005E-2</v>
      </c>
      <c r="G124" s="17">
        <v>0.15629999999999999</v>
      </c>
    </row>
    <row r="125" spans="1:7" ht="10.5" thickBot="1" x14ac:dyDescent="0.25">
      <c r="A125" s="6">
        <f t="shared" si="3"/>
        <v>1964</v>
      </c>
      <c r="B125" s="3" t="s">
        <v>7</v>
      </c>
      <c r="C125" s="3" t="str">
        <f t="shared" si="2"/>
        <v>Septiembre 1964</v>
      </c>
      <c r="D125" s="20">
        <v>7.0534851048428104E-2</v>
      </c>
      <c r="E125" s="7">
        <v>-6.4999999999999997E-3</v>
      </c>
      <c r="F125" s="7">
        <v>8.5599999999999996E-2</v>
      </c>
      <c r="G125" s="17">
        <v>0.13700000000000001</v>
      </c>
    </row>
    <row r="126" spans="1:7" ht="10.5" thickBot="1" x14ac:dyDescent="0.25">
      <c r="A126" s="6">
        <f t="shared" si="3"/>
        <v>1964</v>
      </c>
      <c r="B126" s="3" t="s">
        <v>8</v>
      </c>
      <c r="C126" s="3" t="str">
        <f t="shared" si="2"/>
        <v>Octubre 1964</v>
      </c>
      <c r="D126" s="20">
        <v>6.9994600143343799E-2</v>
      </c>
      <c r="E126" s="7">
        <v>-7.7000000000000002E-3</v>
      </c>
      <c r="F126" s="7">
        <v>7.7299999999999994E-2</v>
      </c>
      <c r="G126" s="17">
        <v>0.1101</v>
      </c>
    </row>
    <row r="127" spans="1:7" ht="10.5" thickBot="1" x14ac:dyDescent="0.25">
      <c r="A127" s="6">
        <f t="shared" si="3"/>
        <v>1964</v>
      </c>
      <c r="B127" s="3" t="s">
        <v>9</v>
      </c>
      <c r="C127" s="3" t="str">
        <f t="shared" si="2"/>
        <v>Noviembre 1964</v>
      </c>
      <c r="D127" s="20">
        <v>7.0569052979111799E-2</v>
      </c>
      <c r="E127" s="7">
        <v>8.2000000000000007E-3</v>
      </c>
      <c r="F127" s="7">
        <v>8.6099999999999996E-2</v>
      </c>
      <c r="G127" s="17">
        <v>9.6199999999999994E-2</v>
      </c>
    </row>
    <row r="128" spans="1:7" ht="10.5" thickBot="1" x14ac:dyDescent="0.25">
      <c r="A128" s="8">
        <f t="shared" si="3"/>
        <v>1964</v>
      </c>
      <c r="B128" s="3" t="s">
        <v>10</v>
      </c>
      <c r="C128" s="3" t="str">
        <f t="shared" si="2"/>
        <v>Diciembre 1964</v>
      </c>
      <c r="D128" s="20">
        <v>7.0689806734382493E-2</v>
      </c>
      <c r="E128" s="7">
        <v>1.6999999999999999E-3</v>
      </c>
      <c r="F128" s="7">
        <v>8.7999999999999995E-2</v>
      </c>
      <c r="G128" s="17">
        <v>8.7999999999999995E-2</v>
      </c>
    </row>
    <row r="129" spans="1:7" ht="10.5" thickBot="1" x14ac:dyDescent="0.25">
      <c r="A129" s="9">
        <f t="shared" si="3"/>
        <v>1965</v>
      </c>
      <c r="B129" s="10" t="s">
        <v>11</v>
      </c>
      <c r="C129" s="10" t="str">
        <f t="shared" si="2"/>
        <v>Enero 1965</v>
      </c>
      <c r="D129" s="19">
        <v>7.1690038707232395E-2</v>
      </c>
      <c r="E129" s="11">
        <v>1.41E-2</v>
      </c>
      <c r="F129" s="11">
        <v>1.41E-2</v>
      </c>
      <c r="G129" s="12">
        <v>8.7499999999999994E-2</v>
      </c>
    </row>
    <row r="130" spans="1:7" ht="10.5" thickBot="1" x14ac:dyDescent="0.25">
      <c r="A130" s="13">
        <f t="shared" si="3"/>
        <v>1965</v>
      </c>
      <c r="B130" s="10" t="s">
        <v>12</v>
      </c>
      <c r="C130" s="10" t="str">
        <f t="shared" si="2"/>
        <v>Febrero 1965</v>
      </c>
      <c r="D130" s="19">
        <v>7.0993436119023007E-2</v>
      </c>
      <c r="E130" s="11">
        <v>-9.7000000000000003E-3</v>
      </c>
      <c r="F130" s="11">
        <v>4.3E-3</v>
      </c>
      <c r="G130" s="12">
        <v>7.0999999999999994E-2</v>
      </c>
    </row>
    <row r="131" spans="1:7" ht="10.5" thickBot="1" x14ac:dyDescent="0.25">
      <c r="A131" s="13">
        <f t="shared" si="3"/>
        <v>1965</v>
      </c>
      <c r="B131" s="10" t="s">
        <v>13</v>
      </c>
      <c r="C131" s="10" t="str">
        <f t="shared" si="2"/>
        <v>Marzo 1965</v>
      </c>
      <c r="D131" s="19">
        <v>7.2000648077726603E-2</v>
      </c>
      <c r="E131" s="11">
        <v>1.4200000000000001E-2</v>
      </c>
      <c r="F131" s="11">
        <v>1.8499999999999999E-2</v>
      </c>
      <c r="G131" s="12">
        <v>6.1600000000000002E-2</v>
      </c>
    </row>
    <row r="132" spans="1:7" ht="10.5" thickBot="1" x14ac:dyDescent="0.25">
      <c r="A132" s="13">
        <f t="shared" si="3"/>
        <v>1965</v>
      </c>
      <c r="B132" s="10" t="s">
        <v>14</v>
      </c>
      <c r="C132" s="10" t="str">
        <f t="shared" ref="C132:C195" si="4">B132&amp;" "&amp;A132</f>
        <v>Abril 1965</v>
      </c>
      <c r="D132" s="19">
        <v>7.3260535524337894E-2</v>
      </c>
      <c r="E132" s="11">
        <v>1.7500000000000002E-2</v>
      </c>
      <c r="F132" s="11">
        <v>3.6400000000000002E-2</v>
      </c>
      <c r="G132" s="12">
        <v>5.57E-2</v>
      </c>
    </row>
    <row r="133" spans="1:7" ht="10.5" thickBot="1" x14ac:dyDescent="0.25">
      <c r="A133" s="13">
        <f t="shared" si="3"/>
        <v>1965</v>
      </c>
      <c r="B133" s="10" t="s">
        <v>15</v>
      </c>
      <c r="C133" s="10" t="str">
        <f t="shared" si="4"/>
        <v>Mayo 1965</v>
      </c>
      <c r="D133" s="19">
        <v>7.4173517674015296E-2</v>
      </c>
      <c r="E133" s="11">
        <v>1.2500000000000001E-2</v>
      </c>
      <c r="F133" s="11">
        <v>4.9299999999999997E-2</v>
      </c>
      <c r="G133" s="12">
        <v>3.5999999999999997E-2</v>
      </c>
    </row>
    <row r="134" spans="1:7" ht="10.5" thickBot="1" x14ac:dyDescent="0.25">
      <c r="A134" s="13">
        <f t="shared" si="3"/>
        <v>1965</v>
      </c>
      <c r="B134" s="10" t="s">
        <v>16</v>
      </c>
      <c r="C134" s="10" t="str">
        <f t="shared" si="4"/>
        <v>Junio 1965</v>
      </c>
      <c r="D134" s="19">
        <v>7.5303577383745907E-2</v>
      </c>
      <c r="E134" s="11">
        <v>1.52E-2</v>
      </c>
      <c r="F134" s="11">
        <v>6.5299999999999997E-2</v>
      </c>
      <c r="G134" s="12">
        <v>3.61E-2</v>
      </c>
    </row>
    <row r="135" spans="1:7" ht="10.5" thickBot="1" x14ac:dyDescent="0.25">
      <c r="A135" s="13">
        <f t="shared" si="3"/>
        <v>1965</v>
      </c>
      <c r="B135" s="10" t="s">
        <v>5</v>
      </c>
      <c r="C135" s="10" t="str">
        <f t="shared" si="4"/>
        <v>Julio 1965</v>
      </c>
      <c r="D135" s="19">
        <v>7.5362907263503198E-2</v>
      </c>
      <c r="E135" s="11">
        <v>8.0000000000000004E-4</v>
      </c>
      <c r="F135" s="11">
        <v>6.6100000000000006E-2</v>
      </c>
      <c r="G135" s="14">
        <v>4.5699999999999998E-2</v>
      </c>
    </row>
    <row r="136" spans="1:7" ht="10.5" thickBot="1" x14ac:dyDescent="0.25">
      <c r="A136" s="13">
        <f t="shared" si="3"/>
        <v>1965</v>
      </c>
      <c r="B136" s="10" t="s">
        <v>6</v>
      </c>
      <c r="C136" s="10" t="str">
        <f t="shared" si="4"/>
        <v>Agosto 1965</v>
      </c>
      <c r="D136" s="19">
        <v>7.5518560948043004E-2</v>
      </c>
      <c r="E136" s="11">
        <v>2.0999999999999999E-3</v>
      </c>
      <c r="F136" s="11">
        <v>6.83E-2</v>
      </c>
      <c r="G136" s="14">
        <v>6.3700000000000007E-2</v>
      </c>
    </row>
    <row r="137" spans="1:7" ht="10.5" thickBot="1" x14ac:dyDescent="0.25">
      <c r="A137" s="13">
        <f t="shared" si="3"/>
        <v>1965</v>
      </c>
      <c r="B137" s="10" t="s">
        <v>7</v>
      </c>
      <c r="C137" s="10" t="str">
        <f t="shared" si="4"/>
        <v>Septiembre 1965</v>
      </c>
      <c r="D137" s="19">
        <v>7.6212371541910906E-2</v>
      </c>
      <c r="E137" s="11">
        <v>9.1999999999999998E-3</v>
      </c>
      <c r="F137" s="11">
        <v>7.8100000000000003E-2</v>
      </c>
      <c r="G137" s="14">
        <v>8.0500000000000002E-2</v>
      </c>
    </row>
    <row r="138" spans="1:7" ht="10.5" thickBot="1" x14ac:dyDescent="0.25">
      <c r="A138" s="13">
        <f t="shared" si="3"/>
        <v>1965</v>
      </c>
      <c r="B138" s="10" t="s">
        <v>8</v>
      </c>
      <c r="C138" s="10" t="str">
        <f t="shared" si="4"/>
        <v>Octubre 1965</v>
      </c>
      <c r="D138" s="19">
        <v>7.7854762213310599E-2</v>
      </c>
      <c r="E138" s="11">
        <v>2.1600000000000001E-2</v>
      </c>
      <c r="F138" s="11">
        <v>0.1014</v>
      </c>
      <c r="G138" s="14">
        <v>0.1123</v>
      </c>
    </row>
    <row r="139" spans="1:7" ht="10.5" thickBot="1" x14ac:dyDescent="0.25">
      <c r="A139" s="13">
        <f t="shared" si="3"/>
        <v>1965</v>
      </c>
      <c r="B139" s="10" t="s">
        <v>9</v>
      </c>
      <c r="C139" s="10" t="str">
        <f t="shared" si="4"/>
        <v>Noviembre 1965</v>
      </c>
      <c r="D139" s="19">
        <v>7.8941546010747599E-2</v>
      </c>
      <c r="E139" s="11">
        <v>1.4E-2</v>
      </c>
      <c r="F139" s="11">
        <v>0.1167</v>
      </c>
      <c r="G139" s="14">
        <v>0.1186</v>
      </c>
    </row>
    <row r="140" spans="1:7" ht="10.5" thickBot="1" x14ac:dyDescent="0.25">
      <c r="A140" s="15">
        <f t="shared" si="3"/>
        <v>1965</v>
      </c>
      <c r="B140" s="10" t="s">
        <v>10</v>
      </c>
      <c r="C140" s="10" t="str">
        <f t="shared" si="4"/>
        <v>Diciembre 1965</v>
      </c>
      <c r="D140" s="19">
        <v>8.0898036045568403E-2</v>
      </c>
      <c r="E140" s="11">
        <v>2.4799999999999999E-2</v>
      </c>
      <c r="F140" s="11">
        <v>0.1444</v>
      </c>
      <c r="G140" s="14">
        <v>0.1444</v>
      </c>
    </row>
    <row r="141" spans="1:7" ht="10.5" thickBot="1" x14ac:dyDescent="0.25">
      <c r="A141" s="16">
        <f t="shared" si="3"/>
        <v>1966</v>
      </c>
      <c r="B141" s="3" t="s">
        <v>11</v>
      </c>
      <c r="C141" s="3" t="str">
        <f t="shared" si="4"/>
        <v>Enero 1966</v>
      </c>
      <c r="D141" s="20">
        <v>8.1940147933541096E-2</v>
      </c>
      <c r="E141" s="7">
        <v>1.29E-2</v>
      </c>
      <c r="F141" s="7">
        <v>1.29E-2</v>
      </c>
      <c r="G141" s="17">
        <v>0.14299999999999999</v>
      </c>
    </row>
    <row r="142" spans="1:7" ht="10.5" thickBot="1" x14ac:dyDescent="0.25">
      <c r="A142" s="6">
        <f t="shared" si="3"/>
        <v>1966</v>
      </c>
      <c r="B142" s="3" t="s">
        <v>12</v>
      </c>
      <c r="C142" s="3" t="str">
        <f t="shared" si="4"/>
        <v>Febrero 1966</v>
      </c>
      <c r="D142" s="20">
        <v>8.2991333803123707E-2</v>
      </c>
      <c r="E142" s="7">
        <v>1.2800000000000001E-2</v>
      </c>
      <c r="F142" s="7">
        <v>2.5899999999999999E-2</v>
      </c>
      <c r="G142" s="17">
        <v>0.16900000000000001</v>
      </c>
    </row>
    <row r="143" spans="1:7" ht="10.5" thickBot="1" x14ac:dyDescent="0.25">
      <c r="A143" s="6">
        <f t="shared" si="3"/>
        <v>1966</v>
      </c>
      <c r="B143" s="3" t="s">
        <v>13</v>
      </c>
      <c r="C143" s="3" t="str">
        <f t="shared" si="4"/>
        <v>Marzo 1966</v>
      </c>
      <c r="D143" s="20">
        <v>8.5024603682336303E-2</v>
      </c>
      <c r="E143" s="7">
        <v>2.4500000000000001E-2</v>
      </c>
      <c r="F143" s="7">
        <v>5.0999999999999997E-2</v>
      </c>
      <c r="G143" s="17">
        <v>0.18090000000000001</v>
      </c>
    </row>
    <row r="144" spans="1:7" ht="10.5" thickBot="1" x14ac:dyDescent="0.25">
      <c r="A144" s="6">
        <f t="shared" si="3"/>
        <v>1966</v>
      </c>
      <c r="B144" s="3" t="s">
        <v>14</v>
      </c>
      <c r="C144" s="3" t="str">
        <f t="shared" si="4"/>
        <v>Abril 1966</v>
      </c>
      <c r="D144" s="20">
        <v>8.7554848554339607E-2</v>
      </c>
      <c r="E144" s="7">
        <v>2.98E-2</v>
      </c>
      <c r="F144" s="7">
        <v>8.2299999999999998E-2</v>
      </c>
      <c r="G144" s="17">
        <v>0.1951</v>
      </c>
    </row>
    <row r="145" spans="1:7" ht="10.5" thickBot="1" x14ac:dyDescent="0.25">
      <c r="A145" s="6">
        <f t="shared" si="3"/>
        <v>1966</v>
      </c>
      <c r="B145" s="3" t="s">
        <v>15</v>
      </c>
      <c r="C145" s="3" t="str">
        <f t="shared" si="4"/>
        <v>Mayo 1966</v>
      </c>
      <c r="D145" s="20">
        <v>8.8580208476263203E-2</v>
      </c>
      <c r="E145" s="7">
        <v>1.17E-2</v>
      </c>
      <c r="F145" s="7">
        <v>9.5000000000000001E-2</v>
      </c>
      <c r="G145" s="17">
        <v>0.19420000000000001</v>
      </c>
    </row>
    <row r="146" spans="1:7" ht="10.5" thickBot="1" x14ac:dyDescent="0.25">
      <c r="A146" s="6">
        <f t="shared" si="3"/>
        <v>1966</v>
      </c>
      <c r="B146" s="3" t="s">
        <v>16</v>
      </c>
      <c r="C146" s="3" t="str">
        <f t="shared" si="4"/>
        <v>Junio 1966</v>
      </c>
      <c r="D146" s="20">
        <v>8.8527858582359606E-2</v>
      </c>
      <c r="E146" s="7">
        <v>-5.9999999999999995E-4</v>
      </c>
      <c r="F146" s="7">
        <v>9.4299999999999995E-2</v>
      </c>
      <c r="G146" s="17">
        <v>0.17560000000000001</v>
      </c>
    </row>
    <row r="147" spans="1:7" ht="10.5" thickBot="1" x14ac:dyDescent="0.25">
      <c r="A147" s="6">
        <f t="shared" si="3"/>
        <v>1966</v>
      </c>
      <c r="B147" s="3" t="s">
        <v>5</v>
      </c>
      <c r="C147" s="3" t="str">
        <f t="shared" si="4"/>
        <v>Julio 1966</v>
      </c>
      <c r="D147" s="20">
        <v>8.8612316411190703E-2</v>
      </c>
      <c r="E147" s="7">
        <v>1E-3</v>
      </c>
      <c r="F147" s="7">
        <v>9.5399999999999999E-2</v>
      </c>
      <c r="G147" s="17">
        <v>0.17580000000000001</v>
      </c>
    </row>
    <row r="148" spans="1:7" ht="10.5" thickBot="1" x14ac:dyDescent="0.25">
      <c r="A148" s="6">
        <f t="shared" si="3"/>
        <v>1966</v>
      </c>
      <c r="B148" s="3" t="s">
        <v>6</v>
      </c>
      <c r="C148" s="3" t="str">
        <f t="shared" si="4"/>
        <v>Agosto 1966</v>
      </c>
      <c r="D148" s="20">
        <v>8.8384768872356703E-2</v>
      </c>
      <c r="E148" s="7">
        <v>-2.5999999999999999E-3</v>
      </c>
      <c r="F148" s="7">
        <v>9.2600000000000002E-2</v>
      </c>
      <c r="G148" s="17">
        <v>0.1704</v>
      </c>
    </row>
    <row r="149" spans="1:7" ht="10.5" thickBot="1" x14ac:dyDescent="0.25">
      <c r="A149" s="6">
        <f t="shared" si="3"/>
        <v>1966</v>
      </c>
      <c r="B149" s="3" t="s">
        <v>7</v>
      </c>
      <c r="C149" s="3" t="str">
        <f t="shared" si="4"/>
        <v>Septiembre 1966</v>
      </c>
      <c r="D149" s="20">
        <v>8.93487049187668E-2</v>
      </c>
      <c r="E149" s="7">
        <v>1.09E-2</v>
      </c>
      <c r="F149" s="7">
        <v>0.1045</v>
      </c>
      <c r="G149" s="17">
        <v>0.1724</v>
      </c>
    </row>
    <row r="150" spans="1:7" ht="10.5" thickBot="1" x14ac:dyDescent="0.25">
      <c r="A150" s="6">
        <f t="shared" ref="A150:A213" si="5">A138+1</f>
        <v>1966</v>
      </c>
      <c r="B150" s="3" t="s">
        <v>8</v>
      </c>
      <c r="C150" s="3" t="str">
        <f t="shared" si="4"/>
        <v>Octubre 1966</v>
      </c>
      <c r="D150" s="20">
        <v>9.0313338963762299E-2</v>
      </c>
      <c r="E150" s="7">
        <v>1.0800000000000001E-2</v>
      </c>
      <c r="F150" s="7">
        <v>0.1164</v>
      </c>
      <c r="G150" s="17">
        <v>0.16</v>
      </c>
    </row>
    <row r="151" spans="1:7" ht="10.5" thickBot="1" x14ac:dyDescent="0.25">
      <c r="A151" s="6">
        <f t="shared" si="5"/>
        <v>1966</v>
      </c>
      <c r="B151" s="3" t="s">
        <v>9</v>
      </c>
      <c r="C151" s="3" t="str">
        <f t="shared" si="4"/>
        <v>Noviembre 1966</v>
      </c>
      <c r="D151" s="20">
        <v>9.0548564487035396E-2</v>
      </c>
      <c r="E151" s="7">
        <v>2.5999999999999999E-3</v>
      </c>
      <c r="F151" s="7">
        <v>0.1193</v>
      </c>
      <c r="G151" s="17">
        <v>0.14699999999999999</v>
      </c>
    </row>
    <row r="152" spans="1:7" ht="10.5" thickBot="1" x14ac:dyDescent="0.25">
      <c r="A152" s="8">
        <f t="shared" si="5"/>
        <v>1966</v>
      </c>
      <c r="B152" s="3" t="s">
        <v>10</v>
      </c>
      <c r="C152" s="3" t="str">
        <f t="shared" si="4"/>
        <v>Diciembre 1966</v>
      </c>
      <c r="D152" s="20">
        <v>9.1305194953587604E-2</v>
      </c>
      <c r="E152" s="7">
        <v>8.3999999999999995E-3</v>
      </c>
      <c r="F152" s="7">
        <v>0.12859999999999999</v>
      </c>
      <c r="G152" s="17">
        <v>0.12859999999999999</v>
      </c>
    </row>
    <row r="153" spans="1:7" ht="10.5" thickBot="1" x14ac:dyDescent="0.25">
      <c r="A153" s="9">
        <f t="shared" si="5"/>
        <v>1967</v>
      </c>
      <c r="B153" s="10" t="s">
        <v>11</v>
      </c>
      <c r="C153" s="10" t="str">
        <f t="shared" si="4"/>
        <v>Enero 1967</v>
      </c>
      <c r="D153" s="19">
        <v>9.1781927987402298E-2</v>
      </c>
      <c r="E153" s="11">
        <v>5.1999999999999998E-3</v>
      </c>
      <c r="F153" s="11">
        <v>5.1999999999999998E-3</v>
      </c>
      <c r="G153" s="12">
        <v>0.1201</v>
      </c>
    </row>
    <row r="154" spans="1:7" ht="10.5" thickBot="1" x14ac:dyDescent="0.25">
      <c r="A154" s="13">
        <f t="shared" si="5"/>
        <v>1967</v>
      </c>
      <c r="B154" s="10" t="s">
        <v>12</v>
      </c>
      <c r="C154" s="10" t="str">
        <f t="shared" si="4"/>
        <v>Febrero 1967</v>
      </c>
      <c r="D154" s="19">
        <v>9.2198633142874298E-2</v>
      </c>
      <c r="E154" s="11">
        <v>4.4999999999999997E-3</v>
      </c>
      <c r="F154" s="11">
        <v>9.7999999999999997E-3</v>
      </c>
      <c r="G154" s="12">
        <v>0.1109</v>
      </c>
    </row>
    <row r="155" spans="1:7" ht="10.5" thickBot="1" x14ac:dyDescent="0.25">
      <c r="A155" s="13">
        <f t="shared" si="5"/>
        <v>1967</v>
      </c>
      <c r="B155" s="10" t="s">
        <v>13</v>
      </c>
      <c r="C155" s="10" t="str">
        <f t="shared" si="4"/>
        <v>Marzo 1967</v>
      </c>
      <c r="D155" s="19">
        <v>9.32072410987487E-2</v>
      </c>
      <c r="E155" s="11">
        <v>1.09E-2</v>
      </c>
      <c r="F155" s="11">
        <v>2.0799999999999999E-2</v>
      </c>
      <c r="G155" s="12">
        <v>9.6199999999999994E-2</v>
      </c>
    </row>
    <row r="156" spans="1:7" ht="10.5" thickBot="1" x14ac:dyDescent="0.25">
      <c r="A156" s="13">
        <f t="shared" si="5"/>
        <v>1967</v>
      </c>
      <c r="B156" s="10" t="s">
        <v>14</v>
      </c>
      <c r="C156" s="10" t="str">
        <f t="shared" si="4"/>
        <v>Abril 1967</v>
      </c>
      <c r="D156" s="19">
        <v>9.3572294358902602E-2</v>
      </c>
      <c r="E156" s="11">
        <v>3.8999999999999998E-3</v>
      </c>
      <c r="F156" s="11">
        <v>2.4799999999999999E-2</v>
      </c>
      <c r="G156" s="12">
        <v>6.8699999999999997E-2</v>
      </c>
    </row>
    <row r="157" spans="1:7" ht="10.5" thickBot="1" x14ac:dyDescent="0.25">
      <c r="A157" s="13">
        <f t="shared" si="5"/>
        <v>1967</v>
      </c>
      <c r="B157" s="10" t="s">
        <v>15</v>
      </c>
      <c r="C157" s="10" t="str">
        <f t="shared" si="4"/>
        <v>Mayo 1967</v>
      </c>
      <c r="D157" s="19">
        <v>9.4162801162134199E-2</v>
      </c>
      <c r="E157" s="11">
        <v>6.3E-3</v>
      </c>
      <c r="F157" s="11">
        <v>3.1300000000000001E-2</v>
      </c>
      <c r="G157" s="12">
        <v>6.3E-2</v>
      </c>
    </row>
    <row r="158" spans="1:7" ht="10.5" thickBot="1" x14ac:dyDescent="0.25">
      <c r="A158" s="13">
        <f t="shared" si="5"/>
        <v>1967</v>
      </c>
      <c r="B158" s="10" t="s">
        <v>16</v>
      </c>
      <c r="C158" s="10" t="str">
        <f t="shared" si="4"/>
        <v>Junio 1967</v>
      </c>
      <c r="D158" s="19">
        <v>9.5823339796753795E-2</v>
      </c>
      <c r="E158" s="11">
        <v>1.7600000000000001E-2</v>
      </c>
      <c r="F158" s="11">
        <v>4.9500000000000002E-2</v>
      </c>
      <c r="G158" s="12">
        <v>8.2400000000000001E-2</v>
      </c>
    </row>
    <row r="159" spans="1:7" ht="10.5" thickBot="1" x14ac:dyDescent="0.25">
      <c r="A159" s="13">
        <f t="shared" si="5"/>
        <v>1967</v>
      </c>
      <c r="B159" s="10" t="s">
        <v>5</v>
      </c>
      <c r="C159" s="10" t="str">
        <f t="shared" si="4"/>
        <v>Julio 1967</v>
      </c>
      <c r="D159" s="19">
        <v>9.5969221501098295E-2</v>
      </c>
      <c r="E159" s="11">
        <v>1.5E-3</v>
      </c>
      <c r="F159" s="11">
        <v>5.11E-2</v>
      </c>
      <c r="G159" s="14">
        <v>8.3000000000000004E-2</v>
      </c>
    </row>
    <row r="160" spans="1:7" ht="10.5" thickBot="1" x14ac:dyDescent="0.25">
      <c r="A160" s="13">
        <f t="shared" si="5"/>
        <v>1967</v>
      </c>
      <c r="B160" s="10" t="s">
        <v>6</v>
      </c>
      <c r="C160" s="10" t="str">
        <f t="shared" si="4"/>
        <v>Agosto 1967</v>
      </c>
      <c r="D160" s="19">
        <v>9.5812171819387698E-2</v>
      </c>
      <c r="E160" s="11">
        <v>-1.6000000000000001E-3</v>
      </c>
      <c r="F160" s="11">
        <v>4.9399999999999999E-2</v>
      </c>
      <c r="G160" s="14">
        <v>8.4000000000000005E-2</v>
      </c>
    </row>
    <row r="161" spans="1:7" ht="10.5" thickBot="1" x14ac:dyDescent="0.25">
      <c r="A161" s="13">
        <f t="shared" si="5"/>
        <v>1967</v>
      </c>
      <c r="B161" s="10" t="s">
        <v>7</v>
      </c>
      <c r="C161" s="10" t="str">
        <f t="shared" si="4"/>
        <v>Septiembre 1967</v>
      </c>
      <c r="D161" s="19">
        <v>9.6141627151687198E-2</v>
      </c>
      <c r="E161" s="11">
        <v>3.3999999999999998E-3</v>
      </c>
      <c r="F161" s="11">
        <v>5.2999999999999999E-2</v>
      </c>
      <c r="G161" s="14">
        <v>7.5999999999999998E-2</v>
      </c>
    </row>
    <row r="162" spans="1:7" ht="10.5" thickBot="1" x14ac:dyDescent="0.25">
      <c r="A162" s="13">
        <f t="shared" si="5"/>
        <v>1967</v>
      </c>
      <c r="B162" s="10" t="s">
        <v>8</v>
      </c>
      <c r="C162" s="10" t="str">
        <f t="shared" si="4"/>
        <v>Octubre 1967</v>
      </c>
      <c r="D162" s="19">
        <v>9.6888485638044003E-2</v>
      </c>
      <c r="E162" s="11">
        <v>7.7999999999999996E-3</v>
      </c>
      <c r="F162" s="11">
        <v>6.1199999999999997E-2</v>
      </c>
      <c r="G162" s="14">
        <v>7.2800000000000004E-2</v>
      </c>
    </row>
    <row r="163" spans="1:7" ht="10.5" thickBot="1" x14ac:dyDescent="0.25">
      <c r="A163" s="13">
        <f t="shared" si="5"/>
        <v>1967</v>
      </c>
      <c r="B163" s="10" t="s">
        <v>9</v>
      </c>
      <c r="C163" s="10" t="str">
        <f t="shared" si="4"/>
        <v>Noviembre 1967</v>
      </c>
      <c r="D163" s="19">
        <v>9.7428038544542905E-2</v>
      </c>
      <c r="E163" s="11">
        <v>5.5999999999999999E-3</v>
      </c>
      <c r="F163" s="11">
        <v>6.7100000000000007E-2</v>
      </c>
      <c r="G163" s="14">
        <v>7.5999999999999998E-2</v>
      </c>
    </row>
    <row r="164" spans="1:7" ht="10.5" thickBot="1" x14ac:dyDescent="0.25">
      <c r="A164" s="15">
        <f t="shared" si="5"/>
        <v>1967</v>
      </c>
      <c r="B164" s="10" t="s">
        <v>10</v>
      </c>
      <c r="C164" s="10" t="str">
        <f t="shared" si="4"/>
        <v>Diciembre 1967</v>
      </c>
      <c r="D164" s="19">
        <v>9.7853817681624905E-2</v>
      </c>
      <c r="E164" s="11">
        <v>4.4000000000000003E-3</v>
      </c>
      <c r="F164" s="11">
        <v>7.17E-2</v>
      </c>
      <c r="G164" s="14">
        <v>7.17E-2</v>
      </c>
    </row>
    <row r="165" spans="1:7" ht="10.5" thickBot="1" x14ac:dyDescent="0.25">
      <c r="A165" s="16">
        <f t="shared" si="5"/>
        <v>1968</v>
      </c>
      <c r="B165" s="3" t="s">
        <v>11</v>
      </c>
      <c r="C165" s="3" t="str">
        <f t="shared" si="4"/>
        <v>Enero 1968</v>
      </c>
      <c r="D165" s="20">
        <v>9.8827525708230293E-2</v>
      </c>
      <c r="E165" s="7">
        <v>9.9000000000000008E-3</v>
      </c>
      <c r="F165" s="7">
        <v>9.9000000000000008E-3</v>
      </c>
      <c r="G165" s="17">
        <v>7.6799999999999993E-2</v>
      </c>
    </row>
    <row r="166" spans="1:7" ht="10.5" thickBot="1" x14ac:dyDescent="0.25">
      <c r="A166" s="6">
        <f t="shared" si="5"/>
        <v>1968</v>
      </c>
      <c r="B166" s="3" t="s">
        <v>12</v>
      </c>
      <c r="C166" s="3" t="str">
        <f t="shared" si="4"/>
        <v>Febrero 1968</v>
      </c>
      <c r="D166" s="20">
        <v>9.8818451726620293E-2</v>
      </c>
      <c r="E166" s="7">
        <v>-1E-4</v>
      </c>
      <c r="F166" s="7">
        <v>9.9000000000000008E-3</v>
      </c>
      <c r="G166" s="17">
        <v>7.1800000000000003E-2</v>
      </c>
    </row>
    <row r="167" spans="1:7" ht="10.5" thickBot="1" x14ac:dyDescent="0.25">
      <c r="A167" s="6">
        <f t="shared" si="5"/>
        <v>1968</v>
      </c>
      <c r="B167" s="3" t="s">
        <v>13</v>
      </c>
      <c r="C167" s="3" t="str">
        <f t="shared" si="4"/>
        <v>Marzo 1968</v>
      </c>
      <c r="D167" s="20">
        <v>9.9860563614593001E-2</v>
      </c>
      <c r="E167" s="7">
        <v>1.0500000000000001E-2</v>
      </c>
      <c r="F167" s="7">
        <v>2.0500000000000001E-2</v>
      </c>
      <c r="G167" s="17">
        <v>7.1400000000000005E-2</v>
      </c>
    </row>
    <row r="168" spans="1:7" ht="10.5" thickBot="1" x14ac:dyDescent="0.25">
      <c r="A168" s="6">
        <f t="shared" si="5"/>
        <v>1968</v>
      </c>
      <c r="B168" s="3" t="s">
        <v>14</v>
      </c>
      <c r="C168" s="3" t="str">
        <f t="shared" si="4"/>
        <v>Abril 1968</v>
      </c>
      <c r="D168" s="20">
        <v>0.101502954285993</v>
      </c>
      <c r="E168" s="7">
        <v>1.6400000000000001E-2</v>
      </c>
      <c r="F168" s="7">
        <v>3.73E-2</v>
      </c>
      <c r="G168" s="17">
        <v>8.48E-2</v>
      </c>
    </row>
    <row r="169" spans="1:7" ht="10.5" thickBot="1" x14ac:dyDescent="0.25">
      <c r="A169" s="6">
        <f t="shared" si="5"/>
        <v>1968</v>
      </c>
      <c r="B169" s="3" t="s">
        <v>15</v>
      </c>
      <c r="C169" s="3" t="str">
        <f t="shared" si="4"/>
        <v>Mayo 1968</v>
      </c>
      <c r="D169" s="20">
        <v>0.102180710912397</v>
      </c>
      <c r="E169" s="7">
        <v>6.7000000000000002E-3</v>
      </c>
      <c r="F169" s="7">
        <v>4.4200000000000003E-2</v>
      </c>
      <c r="G169" s="17">
        <v>8.5199999999999998E-2</v>
      </c>
    </row>
    <row r="170" spans="1:7" ht="10.5" thickBot="1" x14ac:dyDescent="0.25">
      <c r="A170" s="6">
        <f t="shared" si="5"/>
        <v>1968</v>
      </c>
      <c r="B170" s="3" t="s">
        <v>16</v>
      </c>
      <c r="C170" s="3" t="str">
        <f t="shared" si="4"/>
        <v>Junio 1968</v>
      </c>
      <c r="D170" s="20">
        <v>0.102572288118795</v>
      </c>
      <c r="E170" s="7">
        <v>3.8E-3</v>
      </c>
      <c r="F170" s="7">
        <v>4.82E-2</v>
      </c>
      <c r="G170" s="17">
        <v>7.0400000000000004E-2</v>
      </c>
    </row>
    <row r="171" spans="1:7" ht="10.5" thickBot="1" x14ac:dyDescent="0.25">
      <c r="A171" s="6">
        <f t="shared" si="5"/>
        <v>1968</v>
      </c>
      <c r="B171" s="3" t="s">
        <v>5</v>
      </c>
      <c r="C171" s="3" t="str">
        <f t="shared" si="4"/>
        <v>Julio 1968</v>
      </c>
      <c r="D171" s="20">
        <v>0.10338894646369</v>
      </c>
      <c r="E171" s="7">
        <v>8.0000000000000002E-3</v>
      </c>
      <c r="F171" s="7">
        <v>5.6599999999999998E-2</v>
      </c>
      <c r="G171" s="17">
        <v>7.7299999999999994E-2</v>
      </c>
    </row>
    <row r="172" spans="1:7" ht="10.5" thickBot="1" x14ac:dyDescent="0.25">
      <c r="A172" s="6">
        <f t="shared" si="5"/>
        <v>1968</v>
      </c>
      <c r="B172" s="3" t="s">
        <v>6</v>
      </c>
      <c r="C172" s="3" t="str">
        <f t="shared" si="4"/>
        <v>Agosto 1968</v>
      </c>
      <c r="D172" s="20">
        <v>0.103144646958807</v>
      </c>
      <c r="E172" s="7">
        <v>-2.3999999999999998E-3</v>
      </c>
      <c r="F172" s="7">
        <v>5.4100000000000002E-2</v>
      </c>
      <c r="G172" s="17">
        <v>7.6499999999999999E-2</v>
      </c>
    </row>
    <row r="173" spans="1:7" ht="10.5" thickBot="1" x14ac:dyDescent="0.25">
      <c r="A173" s="6">
        <f t="shared" si="5"/>
        <v>1968</v>
      </c>
      <c r="B173" s="3" t="s">
        <v>7</v>
      </c>
      <c r="C173" s="3" t="str">
        <f t="shared" si="4"/>
        <v>Septiembre 1968</v>
      </c>
      <c r="D173" s="20">
        <v>0.103283548677298</v>
      </c>
      <c r="E173" s="7">
        <v>1.2999999999999999E-3</v>
      </c>
      <c r="F173" s="7">
        <v>5.5500000000000001E-2</v>
      </c>
      <c r="G173" s="17">
        <v>7.4300000000000005E-2</v>
      </c>
    </row>
    <row r="174" spans="1:7" ht="10.5" thickBot="1" x14ac:dyDescent="0.25">
      <c r="A174" s="6">
        <f t="shared" si="5"/>
        <v>1968</v>
      </c>
      <c r="B174" s="3" t="s">
        <v>8</v>
      </c>
      <c r="C174" s="3" t="str">
        <f t="shared" si="4"/>
        <v>Octubre 1968</v>
      </c>
      <c r="D174" s="20">
        <v>0.103640225954427</v>
      </c>
      <c r="E174" s="7">
        <v>3.5000000000000001E-3</v>
      </c>
      <c r="F174" s="7">
        <v>5.91E-2</v>
      </c>
      <c r="G174" s="17">
        <v>6.9699999999999998E-2</v>
      </c>
    </row>
    <row r="175" spans="1:7" ht="10.5" thickBot="1" x14ac:dyDescent="0.25">
      <c r="A175" s="6">
        <f t="shared" si="5"/>
        <v>1968</v>
      </c>
      <c r="B175" s="3" t="s">
        <v>9</v>
      </c>
      <c r="C175" s="3" t="str">
        <f t="shared" si="4"/>
        <v>Noviembre 1968</v>
      </c>
      <c r="D175" s="20">
        <v>0.104361258493125</v>
      </c>
      <c r="E175" s="7">
        <v>7.0000000000000001E-3</v>
      </c>
      <c r="F175" s="7">
        <v>6.6500000000000004E-2</v>
      </c>
      <c r="G175" s="17">
        <v>7.1199999999999999E-2</v>
      </c>
    </row>
    <row r="176" spans="1:7" ht="10.5" thickBot="1" x14ac:dyDescent="0.25">
      <c r="A176" s="8">
        <f t="shared" si="5"/>
        <v>1968</v>
      </c>
      <c r="B176" s="3" t="s">
        <v>10</v>
      </c>
      <c r="C176" s="3" t="str">
        <f t="shared" si="4"/>
        <v>Diciembre 1968</v>
      </c>
      <c r="D176" s="20">
        <v>0.104221658776049</v>
      </c>
      <c r="E176" s="7">
        <v>-1.2999999999999999E-3</v>
      </c>
      <c r="F176" s="7">
        <v>6.5100000000000005E-2</v>
      </c>
      <c r="G176" s="17">
        <v>6.5100000000000005E-2</v>
      </c>
    </row>
    <row r="177" spans="1:7" ht="10.5" thickBot="1" x14ac:dyDescent="0.25">
      <c r="A177" s="9">
        <f t="shared" si="5"/>
        <v>1969</v>
      </c>
      <c r="B177" s="10" t="s">
        <v>11</v>
      </c>
      <c r="C177" s="10" t="str">
        <f t="shared" si="4"/>
        <v>Enero 1969</v>
      </c>
      <c r="D177" s="19">
        <v>0.105455022276416</v>
      </c>
      <c r="E177" s="11">
        <v>1.18E-2</v>
      </c>
      <c r="F177" s="11">
        <v>1.18E-2</v>
      </c>
      <c r="G177" s="12">
        <v>6.7100000000000007E-2</v>
      </c>
    </row>
    <row r="178" spans="1:7" ht="10.5" thickBot="1" x14ac:dyDescent="0.25">
      <c r="A178" s="13">
        <f t="shared" si="5"/>
        <v>1969</v>
      </c>
      <c r="B178" s="10" t="s">
        <v>12</v>
      </c>
      <c r="C178" s="10" t="str">
        <f t="shared" si="4"/>
        <v>Febrero 1969</v>
      </c>
      <c r="D178" s="19">
        <v>0.105149996894604</v>
      </c>
      <c r="E178" s="11">
        <v>-2.8999999999999998E-3</v>
      </c>
      <c r="F178" s="11">
        <v>8.8999999999999999E-3</v>
      </c>
      <c r="G178" s="12">
        <v>6.4100000000000004E-2</v>
      </c>
    </row>
    <row r="179" spans="1:7" ht="10.5" thickBot="1" x14ac:dyDescent="0.25">
      <c r="A179" s="13">
        <f t="shared" si="5"/>
        <v>1969</v>
      </c>
      <c r="B179" s="10" t="s">
        <v>13</v>
      </c>
      <c r="C179" s="10" t="str">
        <f t="shared" si="4"/>
        <v>Marzo 1969</v>
      </c>
      <c r="D179" s="19">
        <v>0.106019005133403</v>
      </c>
      <c r="E179" s="11">
        <v>8.3000000000000001E-3</v>
      </c>
      <c r="F179" s="11">
        <v>1.72E-2</v>
      </c>
      <c r="G179" s="12">
        <v>6.1699999999999998E-2</v>
      </c>
    </row>
    <row r="180" spans="1:7" ht="10.5" thickBot="1" x14ac:dyDescent="0.25">
      <c r="A180" s="13">
        <f t="shared" si="5"/>
        <v>1969</v>
      </c>
      <c r="B180" s="10" t="s">
        <v>14</v>
      </c>
      <c r="C180" s="10" t="str">
        <f t="shared" si="4"/>
        <v>Abril 1969</v>
      </c>
      <c r="D180" s="19">
        <v>0.107775867572805</v>
      </c>
      <c r="E180" s="11">
        <v>1.66E-2</v>
      </c>
      <c r="F180" s="11">
        <v>3.4099999999999998E-2</v>
      </c>
      <c r="G180" s="12">
        <v>6.1800000000000001E-2</v>
      </c>
    </row>
    <row r="181" spans="1:7" ht="10.5" thickBot="1" x14ac:dyDescent="0.25">
      <c r="A181" s="13">
        <f t="shared" si="5"/>
        <v>1969</v>
      </c>
      <c r="B181" s="10" t="s">
        <v>15</v>
      </c>
      <c r="C181" s="10" t="str">
        <f t="shared" si="4"/>
        <v>Mayo 1969</v>
      </c>
      <c r="D181" s="19">
        <v>0.1087405016178</v>
      </c>
      <c r="E181" s="11">
        <v>8.8999999999999999E-3</v>
      </c>
      <c r="F181" s="11">
        <v>4.3400000000000001E-2</v>
      </c>
      <c r="G181" s="12">
        <v>6.4199999999999993E-2</v>
      </c>
    </row>
    <row r="182" spans="1:7" ht="10.5" thickBot="1" x14ac:dyDescent="0.25">
      <c r="A182" s="13">
        <f t="shared" si="5"/>
        <v>1969</v>
      </c>
      <c r="B182" s="10" t="s">
        <v>16</v>
      </c>
      <c r="C182" s="10" t="str">
        <f t="shared" si="4"/>
        <v>Junio 1969</v>
      </c>
      <c r="D182" s="19">
        <v>0.10932263243800699</v>
      </c>
      <c r="E182" s="11">
        <v>5.4000000000000003E-3</v>
      </c>
      <c r="F182" s="11">
        <v>4.8899999999999999E-2</v>
      </c>
      <c r="G182" s="12">
        <v>6.5799999999999997E-2</v>
      </c>
    </row>
    <row r="183" spans="1:7" ht="10.5" thickBot="1" x14ac:dyDescent="0.25">
      <c r="A183" s="13">
        <f t="shared" si="5"/>
        <v>1969</v>
      </c>
      <c r="B183" s="10" t="s">
        <v>5</v>
      </c>
      <c r="C183" s="10" t="str">
        <f t="shared" si="4"/>
        <v>Julio 1969</v>
      </c>
      <c r="D183" s="19">
        <v>0.10975608955952899</v>
      </c>
      <c r="E183" s="11">
        <v>4.0000000000000001E-3</v>
      </c>
      <c r="F183" s="11">
        <v>5.3100000000000001E-2</v>
      </c>
      <c r="G183" s="14">
        <v>6.1600000000000002E-2</v>
      </c>
    </row>
    <row r="184" spans="1:7" ht="10.5" thickBot="1" x14ac:dyDescent="0.25">
      <c r="A184" s="13">
        <f t="shared" si="5"/>
        <v>1969</v>
      </c>
      <c r="B184" s="10" t="s">
        <v>6</v>
      </c>
      <c r="C184" s="10" t="str">
        <f t="shared" si="4"/>
        <v>Agosto 1969</v>
      </c>
      <c r="D184" s="19">
        <v>0.11016441873197599</v>
      </c>
      <c r="E184" s="11">
        <v>3.7000000000000002E-3</v>
      </c>
      <c r="F184" s="11">
        <v>5.7000000000000002E-2</v>
      </c>
      <c r="G184" s="14">
        <v>6.8099999999999994E-2</v>
      </c>
    </row>
    <row r="185" spans="1:7" ht="10.5" thickBot="1" x14ac:dyDescent="0.25">
      <c r="A185" s="13">
        <f t="shared" si="5"/>
        <v>1969</v>
      </c>
      <c r="B185" s="10" t="s">
        <v>7</v>
      </c>
      <c r="C185" s="10" t="str">
        <f t="shared" si="4"/>
        <v>Septiembre 1969</v>
      </c>
      <c r="D185" s="19">
        <v>0.11087707528764899</v>
      </c>
      <c r="E185" s="11">
        <v>6.4999999999999997E-3</v>
      </c>
      <c r="F185" s="11">
        <v>6.3899999999999998E-2</v>
      </c>
      <c r="G185" s="14">
        <v>7.3499999999999996E-2</v>
      </c>
    </row>
    <row r="186" spans="1:7" ht="10.5" thickBot="1" x14ac:dyDescent="0.25">
      <c r="A186" s="13">
        <f t="shared" si="5"/>
        <v>1969</v>
      </c>
      <c r="B186" s="10" t="s">
        <v>8</v>
      </c>
      <c r="C186" s="10" t="str">
        <f t="shared" si="4"/>
        <v>Octubre 1969</v>
      </c>
      <c r="D186" s="19">
        <v>0.11231216037919101</v>
      </c>
      <c r="E186" s="11">
        <v>1.29E-2</v>
      </c>
      <c r="F186" s="11">
        <v>7.7600000000000002E-2</v>
      </c>
      <c r="G186" s="14">
        <v>8.3699999999999997E-2</v>
      </c>
    </row>
    <row r="187" spans="1:7" ht="10.5" thickBot="1" x14ac:dyDescent="0.25">
      <c r="A187" s="13">
        <f t="shared" si="5"/>
        <v>1969</v>
      </c>
      <c r="B187" s="10" t="s">
        <v>9</v>
      </c>
      <c r="C187" s="10" t="str">
        <f t="shared" si="4"/>
        <v>Noviembre 1969</v>
      </c>
      <c r="D187" s="19">
        <v>0.11259764180061101</v>
      </c>
      <c r="E187" s="11">
        <v>2.5000000000000001E-3</v>
      </c>
      <c r="F187" s="11">
        <v>8.0399999999999999E-2</v>
      </c>
      <c r="G187" s="14">
        <v>7.8899999999999998E-2</v>
      </c>
    </row>
    <row r="188" spans="1:7" ht="10.5" thickBot="1" x14ac:dyDescent="0.25">
      <c r="A188" s="15">
        <f t="shared" si="5"/>
        <v>1969</v>
      </c>
      <c r="B188" s="10" t="s">
        <v>10</v>
      </c>
      <c r="C188" s="10" t="str">
        <f t="shared" si="4"/>
        <v>Diciembre 1969</v>
      </c>
      <c r="D188" s="19">
        <v>0.11321397455150201</v>
      </c>
      <c r="E188" s="11">
        <v>5.4999999999999997E-3</v>
      </c>
      <c r="F188" s="11">
        <v>8.6300000000000002E-2</v>
      </c>
      <c r="G188" s="14">
        <v>8.6300000000000002E-2</v>
      </c>
    </row>
    <row r="189" spans="1:7" ht="10.5" thickBot="1" x14ac:dyDescent="0.25">
      <c r="A189" s="16">
        <f t="shared" si="5"/>
        <v>1970</v>
      </c>
      <c r="B189" s="3" t="s">
        <v>11</v>
      </c>
      <c r="C189" s="3" t="str">
        <f t="shared" si="4"/>
        <v>Enero 1970</v>
      </c>
      <c r="D189" s="20">
        <v>0.11321188055574601</v>
      </c>
      <c r="E189" s="7">
        <v>0</v>
      </c>
      <c r="F189" s="7">
        <v>0</v>
      </c>
      <c r="G189" s="17">
        <v>7.3599999999999999E-2</v>
      </c>
    </row>
    <row r="190" spans="1:7" ht="10.5" thickBot="1" x14ac:dyDescent="0.25">
      <c r="A190" s="6">
        <f t="shared" si="5"/>
        <v>1970</v>
      </c>
      <c r="B190" s="3" t="s">
        <v>12</v>
      </c>
      <c r="C190" s="3" t="str">
        <f t="shared" si="4"/>
        <v>Febrero 1970</v>
      </c>
      <c r="D190" s="20">
        <v>0.11323770650340501</v>
      </c>
      <c r="E190" s="7">
        <v>2.0000000000000001E-4</v>
      </c>
      <c r="F190" s="7">
        <v>2.0000000000000001E-4</v>
      </c>
      <c r="G190" s="17">
        <v>7.6899999999999996E-2</v>
      </c>
    </row>
    <row r="191" spans="1:7" ht="10.5" thickBot="1" x14ac:dyDescent="0.25">
      <c r="A191" s="6">
        <f t="shared" si="5"/>
        <v>1970</v>
      </c>
      <c r="B191" s="3" t="s">
        <v>13</v>
      </c>
      <c r="C191" s="3" t="str">
        <f t="shared" si="4"/>
        <v>Marzo 1970</v>
      </c>
      <c r="D191" s="20">
        <v>0.11420094455123</v>
      </c>
      <c r="E191" s="7">
        <v>8.5000000000000006E-3</v>
      </c>
      <c r="F191" s="7">
        <v>8.6999999999999994E-3</v>
      </c>
      <c r="G191" s="17">
        <v>7.7200000000000005E-2</v>
      </c>
    </row>
    <row r="192" spans="1:7" ht="10.5" thickBot="1" x14ac:dyDescent="0.25">
      <c r="A192" s="6">
        <f t="shared" si="5"/>
        <v>1970</v>
      </c>
      <c r="B192" s="3" t="s">
        <v>14</v>
      </c>
      <c r="C192" s="3" t="str">
        <f t="shared" si="4"/>
        <v>Abril 1970</v>
      </c>
      <c r="D192" s="20">
        <v>0.115784703341458</v>
      </c>
      <c r="E192" s="7">
        <v>1.3899999999999999E-2</v>
      </c>
      <c r="F192" s="7">
        <v>2.2700000000000001E-2</v>
      </c>
      <c r="G192" s="17">
        <v>7.4300000000000005E-2</v>
      </c>
    </row>
    <row r="193" spans="1:7" ht="10.5" thickBot="1" x14ac:dyDescent="0.25">
      <c r="A193" s="6">
        <f t="shared" si="5"/>
        <v>1970</v>
      </c>
      <c r="B193" s="3" t="s">
        <v>15</v>
      </c>
      <c r="C193" s="3" t="str">
        <f t="shared" si="4"/>
        <v>Mayo 1970</v>
      </c>
      <c r="D193" s="20">
        <v>0.116366136163079</v>
      </c>
      <c r="E193" s="7">
        <v>5.0000000000000001E-3</v>
      </c>
      <c r="F193" s="7">
        <v>2.7799999999999998E-2</v>
      </c>
      <c r="G193" s="17">
        <v>7.0099999999999996E-2</v>
      </c>
    </row>
    <row r="194" spans="1:7" ht="10.5" thickBot="1" x14ac:dyDescent="0.25">
      <c r="A194" s="6">
        <f t="shared" si="5"/>
        <v>1970</v>
      </c>
      <c r="B194" s="3" t="s">
        <v>16</v>
      </c>
      <c r="C194" s="3" t="str">
        <f t="shared" si="4"/>
        <v>Junio 1970</v>
      </c>
      <c r="D194" s="20">
        <v>0.117592519677592</v>
      </c>
      <c r="E194" s="7">
        <v>1.0500000000000001E-2</v>
      </c>
      <c r="F194" s="7">
        <v>3.8699999999999998E-2</v>
      </c>
      <c r="G194" s="17">
        <v>7.5600000000000001E-2</v>
      </c>
    </row>
    <row r="195" spans="1:7" ht="10.5" thickBot="1" x14ac:dyDescent="0.25">
      <c r="A195" s="6">
        <f t="shared" si="5"/>
        <v>1970</v>
      </c>
      <c r="B195" s="3" t="s">
        <v>5</v>
      </c>
      <c r="C195" s="3" t="str">
        <f t="shared" si="4"/>
        <v>Julio 1970</v>
      </c>
      <c r="D195" s="20">
        <v>0.117922673008477</v>
      </c>
      <c r="E195" s="7">
        <v>2.8E-3</v>
      </c>
      <c r="F195" s="7">
        <v>4.1599999999999998E-2</v>
      </c>
      <c r="G195" s="17">
        <v>7.4399999999999994E-2</v>
      </c>
    </row>
    <row r="196" spans="1:7" ht="10.5" thickBot="1" x14ac:dyDescent="0.25">
      <c r="A196" s="6">
        <f t="shared" si="5"/>
        <v>1970</v>
      </c>
      <c r="B196" s="3" t="s">
        <v>6</v>
      </c>
      <c r="C196" s="3" t="str">
        <f t="shared" ref="C196:C259" si="6">B196&amp;" "&amp;A196</f>
        <v>Agosto 1970</v>
      </c>
      <c r="D196" s="20">
        <v>0.117242822386317</v>
      </c>
      <c r="E196" s="7">
        <v>-5.7999999999999996E-3</v>
      </c>
      <c r="F196" s="7">
        <v>3.56E-2</v>
      </c>
      <c r="G196" s="17">
        <v>6.4299999999999996E-2</v>
      </c>
    </row>
    <row r="197" spans="1:7" ht="10.5" thickBot="1" x14ac:dyDescent="0.25">
      <c r="A197" s="6">
        <f t="shared" si="5"/>
        <v>1970</v>
      </c>
      <c r="B197" s="3" t="s">
        <v>7</v>
      </c>
      <c r="C197" s="3" t="str">
        <f t="shared" si="6"/>
        <v>Septiembre 1970</v>
      </c>
      <c r="D197" s="20">
        <v>0.118094380660481</v>
      </c>
      <c r="E197" s="7">
        <v>7.3000000000000001E-3</v>
      </c>
      <c r="F197" s="7">
        <v>4.3099999999999999E-2</v>
      </c>
      <c r="G197" s="17">
        <v>6.5100000000000005E-2</v>
      </c>
    </row>
    <row r="198" spans="1:7" ht="10.5" thickBot="1" x14ac:dyDescent="0.25">
      <c r="A198" s="6">
        <f t="shared" si="5"/>
        <v>1970</v>
      </c>
      <c r="B198" s="3" t="s">
        <v>8</v>
      </c>
      <c r="C198" s="3" t="str">
        <f t="shared" si="6"/>
        <v>Octubre 1970</v>
      </c>
      <c r="D198" s="20">
        <v>0.118171858503458</v>
      </c>
      <c r="E198" s="7">
        <v>6.9999999999999999E-4</v>
      </c>
      <c r="F198" s="7">
        <v>4.3799999999999999E-2</v>
      </c>
      <c r="G198" s="17">
        <v>5.2200000000000003E-2</v>
      </c>
    </row>
    <row r="199" spans="1:7" ht="10.5" thickBot="1" x14ac:dyDescent="0.25">
      <c r="A199" s="6">
        <f t="shared" si="5"/>
        <v>1970</v>
      </c>
      <c r="B199" s="3" t="s">
        <v>9</v>
      </c>
      <c r="C199" s="3" t="str">
        <f t="shared" si="6"/>
        <v>Noviembre 1970</v>
      </c>
      <c r="D199" s="20">
        <v>0.119492471826997</v>
      </c>
      <c r="E199" s="7">
        <v>1.12E-2</v>
      </c>
      <c r="F199" s="7">
        <v>5.5500000000000001E-2</v>
      </c>
      <c r="G199" s="17">
        <v>6.1199999999999997E-2</v>
      </c>
    </row>
    <row r="200" spans="1:7" ht="10.5" thickBot="1" x14ac:dyDescent="0.25">
      <c r="A200" s="8">
        <f t="shared" si="5"/>
        <v>1970</v>
      </c>
      <c r="B200" s="3" t="s">
        <v>10</v>
      </c>
      <c r="C200" s="3" t="str">
        <f t="shared" si="6"/>
        <v>Diciembre 1970</v>
      </c>
      <c r="D200" s="20">
        <v>0.120665109450436</v>
      </c>
      <c r="E200" s="7">
        <v>9.7999999999999997E-3</v>
      </c>
      <c r="F200" s="7">
        <v>6.5799999999999997E-2</v>
      </c>
      <c r="G200" s="17">
        <v>6.5799999999999997E-2</v>
      </c>
    </row>
    <row r="201" spans="1:7" ht="10.5" thickBot="1" x14ac:dyDescent="0.25">
      <c r="A201" s="9">
        <f t="shared" si="5"/>
        <v>1971</v>
      </c>
      <c r="B201" s="10" t="s">
        <v>11</v>
      </c>
      <c r="C201" s="10" t="str">
        <f t="shared" si="6"/>
        <v>Enero 1971</v>
      </c>
      <c r="D201" s="19">
        <v>0.122569249591353</v>
      </c>
      <c r="E201" s="11">
        <v>1.5800000000000002E-2</v>
      </c>
      <c r="F201" s="11">
        <v>1.5800000000000002E-2</v>
      </c>
      <c r="G201" s="12">
        <v>8.2600000000000007E-2</v>
      </c>
    </row>
    <row r="202" spans="1:7" ht="10.5" thickBot="1" x14ac:dyDescent="0.25">
      <c r="A202" s="13">
        <f t="shared" si="5"/>
        <v>1971</v>
      </c>
      <c r="B202" s="10" t="s">
        <v>12</v>
      </c>
      <c r="C202" s="10" t="str">
        <f t="shared" si="6"/>
        <v>Febrero 1971</v>
      </c>
      <c r="D202" s="19">
        <v>0.123602985496301</v>
      </c>
      <c r="E202" s="11">
        <v>8.3999999999999995E-3</v>
      </c>
      <c r="F202" s="11">
        <v>2.4299999999999999E-2</v>
      </c>
      <c r="G202" s="12">
        <v>9.1499999999999998E-2</v>
      </c>
    </row>
    <row r="203" spans="1:7" ht="10.5" thickBot="1" x14ac:dyDescent="0.25">
      <c r="A203" s="13">
        <f t="shared" si="5"/>
        <v>1971</v>
      </c>
      <c r="B203" s="10" t="s">
        <v>13</v>
      </c>
      <c r="C203" s="10" t="str">
        <f t="shared" si="6"/>
        <v>Marzo 1971</v>
      </c>
      <c r="D203" s="19">
        <v>0.124826577016473</v>
      </c>
      <c r="E203" s="11">
        <v>9.9000000000000008E-3</v>
      </c>
      <c r="F203" s="11">
        <v>3.4500000000000003E-2</v>
      </c>
      <c r="G203" s="12">
        <v>9.2999999999999999E-2</v>
      </c>
    </row>
    <row r="204" spans="1:7" ht="10.5" thickBot="1" x14ac:dyDescent="0.25">
      <c r="A204" s="13">
        <f t="shared" si="5"/>
        <v>1971</v>
      </c>
      <c r="B204" s="10" t="s">
        <v>14</v>
      </c>
      <c r="C204" s="10" t="str">
        <f t="shared" si="6"/>
        <v>Abril 1971</v>
      </c>
      <c r="D204" s="19">
        <v>0.12710624039632501</v>
      </c>
      <c r="E204" s="11">
        <v>1.83E-2</v>
      </c>
      <c r="F204" s="11">
        <v>5.3400000000000003E-2</v>
      </c>
      <c r="G204" s="12">
        <v>9.7799999999999998E-2</v>
      </c>
    </row>
    <row r="205" spans="1:7" ht="10.5" thickBot="1" x14ac:dyDescent="0.25">
      <c r="A205" s="13">
        <f t="shared" si="5"/>
        <v>1971</v>
      </c>
      <c r="B205" s="10" t="s">
        <v>15</v>
      </c>
      <c r="C205" s="10" t="str">
        <f t="shared" si="6"/>
        <v>Mayo 1971</v>
      </c>
      <c r="D205" s="19">
        <v>0.12862787731245401</v>
      </c>
      <c r="E205" s="11">
        <v>1.2E-2</v>
      </c>
      <c r="F205" s="11">
        <v>6.6000000000000003E-2</v>
      </c>
      <c r="G205" s="12">
        <v>0.10539999999999999</v>
      </c>
    </row>
    <row r="206" spans="1:7" ht="10.5" thickBot="1" x14ac:dyDescent="0.25">
      <c r="A206" s="13">
        <f t="shared" si="5"/>
        <v>1971</v>
      </c>
      <c r="B206" s="10" t="s">
        <v>16</v>
      </c>
      <c r="C206" s="10" t="str">
        <f t="shared" si="6"/>
        <v>Junio 1971</v>
      </c>
      <c r="D206" s="19">
        <v>0.12934890985115099</v>
      </c>
      <c r="E206" s="11">
        <v>5.5999999999999999E-3</v>
      </c>
      <c r="F206" s="11">
        <v>7.1999999999999995E-2</v>
      </c>
      <c r="G206" s="12">
        <v>0.1</v>
      </c>
    </row>
    <row r="207" spans="1:7" ht="10.5" thickBot="1" x14ac:dyDescent="0.25">
      <c r="A207" s="13">
        <f t="shared" si="5"/>
        <v>1971</v>
      </c>
      <c r="B207" s="10" t="s">
        <v>5</v>
      </c>
      <c r="C207" s="10" t="str">
        <f t="shared" si="6"/>
        <v>Julio 1971</v>
      </c>
      <c r="D207" s="19">
        <v>0.13112112825943201</v>
      </c>
      <c r="E207" s="11">
        <v>1.37E-2</v>
      </c>
      <c r="F207" s="11">
        <v>8.6699999999999999E-2</v>
      </c>
      <c r="G207" s="14">
        <v>0.1119</v>
      </c>
    </row>
    <row r="208" spans="1:7" ht="10.5" thickBot="1" x14ac:dyDescent="0.25">
      <c r="A208" s="13">
        <f t="shared" si="5"/>
        <v>1971</v>
      </c>
      <c r="B208" s="10" t="s">
        <v>6</v>
      </c>
      <c r="C208" s="10" t="str">
        <f t="shared" si="6"/>
        <v>Agosto 1971</v>
      </c>
      <c r="D208" s="19">
        <v>0.13252061542311899</v>
      </c>
      <c r="E208" s="11">
        <v>1.0699999999999999E-2</v>
      </c>
      <c r="F208" s="11">
        <v>9.8299999999999998E-2</v>
      </c>
      <c r="G208" s="14">
        <v>0.1303</v>
      </c>
    </row>
    <row r="209" spans="1:7" ht="10.5" thickBot="1" x14ac:dyDescent="0.25">
      <c r="A209" s="13">
        <f t="shared" si="5"/>
        <v>1971</v>
      </c>
      <c r="B209" s="10" t="s">
        <v>7</v>
      </c>
      <c r="C209" s="10" t="str">
        <f t="shared" si="6"/>
        <v>Septiembre 1971</v>
      </c>
      <c r="D209" s="19">
        <v>0.13360739922055601</v>
      </c>
      <c r="E209" s="11">
        <v>8.2000000000000007E-3</v>
      </c>
      <c r="F209" s="11">
        <v>0.10730000000000001</v>
      </c>
      <c r="G209" s="14">
        <v>0.13139999999999999</v>
      </c>
    </row>
    <row r="210" spans="1:7" ht="10.5" thickBot="1" x14ac:dyDescent="0.25">
      <c r="A210" s="13">
        <f t="shared" si="5"/>
        <v>1971</v>
      </c>
      <c r="B210" s="10" t="s">
        <v>8</v>
      </c>
      <c r="C210" s="10" t="str">
        <f t="shared" si="6"/>
        <v>Octubre 1971</v>
      </c>
      <c r="D210" s="19">
        <v>0.13548571341381399</v>
      </c>
      <c r="E210" s="11">
        <v>1.41E-2</v>
      </c>
      <c r="F210" s="11">
        <v>0.12280000000000001</v>
      </c>
      <c r="G210" s="14">
        <v>0.14649999999999999</v>
      </c>
    </row>
    <row r="211" spans="1:7" ht="10.5" thickBot="1" x14ac:dyDescent="0.25">
      <c r="A211" s="13">
        <f t="shared" si="5"/>
        <v>1971</v>
      </c>
      <c r="B211" s="10" t="s">
        <v>9</v>
      </c>
      <c r="C211" s="10" t="str">
        <f t="shared" si="6"/>
        <v>Noviembre 1971</v>
      </c>
      <c r="D211" s="19">
        <v>0.13693685247282</v>
      </c>
      <c r="E211" s="11">
        <v>1.0699999999999999E-2</v>
      </c>
      <c r="F211" s="11">
        <v>0.13489999999999999</v>
      </c>
      <c r="G211" s="14">
        <v>0.14599999999999999</v>
      </c>
    </row>
    <row r="212" spans="1:7" ht="10.5" thickBot="1" x14ac:dyDescent="0.25">
      <c r="A212" s="15">
        <f t="shared" si="5"/>
        <v>1971</v>
      </c>
      <c r="B212" s="10" t="s">
        <v>10</v>
      </c>
      <c r="C212" s="10" t="str">
        <f t="shared" si="6"/>
        <v>Diciembre 1971</v>
      </c>
      <c r="D212" s="19">
        <v>0.13759715913459</v>
      </c>
      <c r="E212" s="11">
        <v>4.7999999999999996E-3</v>
      </c>
      <c r="F212" s="11">
        <v>0.14030000000000001</v>
      </c>
      <c r="G212" s="14">
        <v>0.14030000000000001</v>
      </c>
    </row>
    <row r="213" spans="1:7" ht="10.5" thickBot="1" x14ac:dyDescent="0.25">
      <c r="A213" s="16">
        <f t="shared" si="5"/>
        <v>1972</v>
      </c>
      <c r="B213" s="3" t="s">
        <v>11</v>
      </c>
      <c r="C213" s="3" t="str">
        <f t="shared" si="6"/>
        <v>Enero 1972</v>
      </c>
      <c r="D213" s="20">
        <v>0.139116004056377</v>
      </c>
      <c r="E213" s="7">
        <v>1.0999999999999999E-2</v>
      </c>
      <c r="F213" s="7">
        <v>1.0999999999999999E-2</v>
      </c>
      <c r="G213" s="17">
        <v>0.13500000000000001</v>
      </c>
    </row>
    <row r="214" spans="1:7" ht="10.5" thickBot="1" x14ac:dyDescent="0.25">
      <c r="A214" s="6">
        <f t="shared" ref="A214:A277" si="7">A202+1</f>
        <v>1972</v>
      </c>
      <c r="B214" s="3" t="s">
        <v>12</v>
      </c>
      <c r="C214" s="3" t="str">
        <f t="shared" si="6"/>
        <v>Febrero 1972</v>
      </c>
      <c r="D214" s="20">
        <v>0.140714420816898</v>
      </c>
      <c r="E214" s="7">
        <v>1.15E-2</v>
      </c>
      <c r="F214" s="7">
        <v>2.2700000000000001E-2</v>
      </c>
      <c r="G214" s="17">
        <v>0.1384</v>
      </c>
    </row>
    <row r="215" spans="1:7" ht="10.5" thickBot="1" x14ac:dyDescent="0.25">
      <c r="A215" s="6">
        <f t="shared" si="7"/>
        <v>1972</v>
      </c>
      <c r="B215" s="3" t="s">
        <v>13</v>
      </c>
      <c r="C215" s="3" t="str">
        <f t="shared" si="6"/>
        <v>Marzo 1972</v>
      </c>
      <c r="D215" s="20">
        <v>0.14209506201878</v>
      </c>
      <c r="E215" s="7">
        <v>9.7999999999999997E-3</v>
      </c>
      <c r="F215" s="7">
        <v>3.27E-2</v>
      </c>
      <c r="G215" s="17">
        <v>0.13830000000000001</v>
      </c>
    </row>
    <row r="216" spans="1:7" ht="10.5" thickBot="1" x14ac:dyDescent="0.25">
      <c r="A216" s="6">
        <f t="shared" si="7"/>
        <v>1972</v>
      </c>
      <c r="B216" s="3" t="s">
        <v>14</v>
      </c>
      <c r="C216" s="3" t="str">
        <f t="shared" si="6"/>
        <v>Abril 1972</v>
      </c>
      <c r="D216" s="20">
        <v>0.144215581721165</v>
      </c>
      <c r="E216" s="7">
        <v>1.49E-2</v>
      </c>
      <c r="F216" s="7">
        <v>4.8099999999999997E-2</v>
      </c>
      <c r="G216" s="17">
        <v>0.1346</v>
      </c>
    </row>
    <row r="217" spans="1:7" ht="10.5" thickBot="1" x14ac:dyDescent="0.25">
      <c r="A217" s="6">
        <f t="shared" si="7"/>
        <v>1972</v>
      </c>
      <c r="B217" s="3" t="s">
        <v>15</v>
      </c>
      <c r="C217" s="3" t="str">
        <f t="shared" si="6"/>
        <v>Mayo 1972</v>
      </c>
      <c r="D217" s="20">
        <v>0.145372863375725</v>
      </c>
      <c r="E217" s="7">
        <v>8.0000000000000002E-3</v>
      </c>
      <c r="F217" s="7">
        <v>5.6500000000000002E-2</v>
      </c>
      <c r="G217" s="17">
        <v>0.13020000000000001</v>
      </c>
    </row>
    <row r="218" spans="1:7" ht="10.5" thickBot="1" x14ac:dyDescent="0.25">
      <c r="A218" s="6">
        <f t="shared" si="7"/>
        <v>1972</v>
      </c>
      <c r="B218" s="3" t="s">
        <v>16</v>
      </c>
      <c r="C218" s="3" t="str">
        <f t="shared" si="6"/>
        <v>Junio 1972</v>
      </c>
      <c r="D218" s="20">
        <v>0.14690217827629401</v>
      </c>
      <c r="E218" s="7">
        <v>1.0500000000000001E-2</v>
      </c>
      <c r="F218" s="7">
        <v>6.7599999999999993E-2</v>
      </c>
      <c r="G218" s="17">
        <v>0.13569999999999999</v>
      </c>
    </row>
    <row r="219" spans="1:7" ht="10.5" thickBot="1" x14ac:dyDescent="0.25">
      <c r="A219" s="6">
        <f t="shared" si="7"/>
        <v>1972</v>
      </c>
      <c r="B219" s="3" t="s">
        <v>5</v>
      </c>
      <c r="C219" s="3" t="str">
        <f t="shared" si="6"/>
        <v>Julio 1972</v>
      </c>
      <c r="D219" s="20">
        <v>0.148614368806231</v>
      </c>
      <c r="E219" s="7">
        <v>1.17E-2</v>
      </c>
      <c r="F219" s="7">
        <v>8.0100000000000005E-2</v>
      </c>
      <c r="G219" s="17">
        <v>0.13339999999999999</v>
      </c>
    </row>
    <row r="220" spans="1:7" ht="10.5" thickBot="1" x14ac:dyDescent="0.25">
      <c r="A220" s="6">
        <f t="shared" si="7"/>
        <v>1972</v>
      </c>
      <c r="B220" s="3" t="s">
        <v>6</v>
      </c>
      <c r="C220" s="3" t="str">
        <f t="shared" si="6"/>
        <v>Agosto 1972</v>
      </c>
      <c r="D220" s="20">
        <v>0.14962088276634999</v>
      </c>
      <c r="E220" s="7">
        <v>6.7999999999999996E-3</v>
      </c>
      <c r="F220" s="7">
        <v>8.7400000000000005E-2</v>
      </c>
      <c r="G220" s="17">
        <v>0.129</v>
      </c>
    </row>
    <row r="221" spans="1:7" ht="10.5" thickBot="1" x14ac:dyDescent="0.25">
      <c r="A221" s="6">
        <f t="shared" si="7"/>
        <v>1972</v>
      </c>
      <c r="B221" s="3" t="s">
        <v>7</v>
      </c>
      <c r="C221" s="3" t="str">
        <f t="shared" si="6"/>
        <v>Septiembre 1972</v>
      </c>
      <c r="D221" s="20">
        <v>0.15178398038244301</v>
      </c>
      <c r="E221" s="7">
        <v>1.4500000000000001E-2</v>
      </c>
      <c r="F221" s="7">
        <v>0.1031</v>
      </c>
      <c r="G221" s="17">
        <v>0.13600000000000001</v>
      </c>
    </row>
    <row r="222" spans="1:7" ht="10.5" thickBot="1" x14ac:dyDescent="0.25">
      <c r="A222" s="6">
        <f t="shared" si="7"/>
        <v>1972</v>
      </c>
      <c r="B222" s="3" t="s">
        <v>8</v>
      </c>
      <c r="C222" s="3" t="str">
        <f t="shared" si="6"/>
        <v>Octubre 1972</v>
      </c>
      <c r="D222" s="20">
        <v>0.154775602319383</v>
      </c>
      <c r="E222" s="7">
        <v>1.9699999999999999E-2</v>
      </c>
      <c r="F222" s="7">
        <v>0.12479999999999999</v>
      </c>
      <c r="G222" s="17">
        <v>0.1424</v>
      </c>
    </row>
    <row r="223" spans="1:7" ht="10.5" thickBot="1" x14ac:dyDescent="0.25">
      <c r="A223" s="6">
        <f t="shared" si="7"/>
        <v>1972</v>
      </c>
      <c r="B223" s="3" t="s">
        <v>9</v>
      </c>
      <c r="C223" s="3" t="str">
        <f t="shared" si="6"/>
        <v>Noviembre 1972</v>
      </c>
      <c r="D223" s="20">
        <v>0.15653106876161399</v>
      </c>
      <c r="E223" s="7">
        <v>1.1299999999999999E-2</v>
      </c>
      <c r="F223" s="7">
        <v>0.1376</v>
      </c>
      <c r="G223" s="17">
        <v>0.1431</v>
      </c>
    </row>
    <row r="224" spans="1:7" ht="10.5" thickBot="1" x14ac:dyDescent="0.25">
      <c r="A224" s="8">
        <f t="shared" si="7"/>
        <v>1972</v>
      </c>
      <c r="B224" s="3" t="s">
        <v>10</v>
      </c>
      <c r="C224" s="3" t="str">
        <f t="shared" si="6"/>
        <v>Diciembre 1972</v>
      </c>
      <c r="D224" s="20">
        <v>0.156850054115133</v>
      </c>
      <c r="E224" s="7">
        <v>2E-3</v>
      </c>
      <c r="F224" s="7">
        <v>0.1399</v>
      </c>
      <c r="G224" s="17">
        <v>0.1399</v>
      </c>
    </row>
    <row r="225" spans="1:7" ht="10.5" thickBot="1" x14ac:dyDescent="0.25">
      <c r="A225" s="9">
        <f t="shared" si="7"/>
        <v>1973</v>
      </c>
      <c r="B225" s="10" t="s">
        <v>11</v>
      </c>
      <c r="C225" s="10" t="str">
        <f t="shared" si="6"/>
        <v>Enero 1973</v>
      </c>
      <c r="D225" s="19">
        <v>0.158525250720045</v>
      </c>
      <c r="E225" s="11">
        <v>1.0699999999999999E-2</v>
      </c>
      <c r="F225" s="11">
        <v>1.0699999999999999E-2</v>
      </c>
      <c r="G225" s="12">
        <v>0.13950000000000001</v>
      </c>
    </row>
    <row r="226" spans="1:7" ht="10.5" thickBot="1" x14ac:dyDescent="0.25">
      <c r="A226" s="13">
        <f t="shared" si="7"/>
        <v>1973</v>
      </c>
      <c r="B226" s="10" t="s">
        <v>12</v>
      </c>
      <c r="C226" s="10" t="str">
        <f t="shared" si="6"/>
        <v>Febrero 1973</v>
      </c>
      <c r="D226" s="19">
        <v>0.16173115822269599</v>
      </c>
      <c r="E226" s="11">
        <v>2.0199999999999999E-2</v>
      </c>
      <c r="F226" s="11">
        <v>3.1099999999999999E-2</v>
      </c>
      <c r="G226" s="12">
        <v>0.14940000000000001</v>
      </c>
    </row>
    <row r="227" spans="1:7" ht="10.5" thickBot="1" x14ac:dyDescent="0.25">
      <c r="A227" s="13">
        <f t="shared" si="7"/>
        <v>1973</v>
      </c>
      <c r="B227" s="10" t="s">
        <v>13</v>
      </c>
      <c r="C227" s="10" t="str">
        <f t="shared" si="6"/>
        <v>Marzo 1973</v>
      </c>
      <c r="D227" s="19">
        <v>0.167321428893007</v>
      </c>
      <c r="E227" s="11">
        <v>3.4599999999999999E-2</v>
      </c>
      <c r="F227" s="11">
        <v>6.6799999999999998E-2</v>
      </c>
      <c r="G227" s="12">
        <v>0.17749999999999999</v>
      </c>
    </row>
    <row r="228" spans="1:7" ht="10.5" thickBot="1" x14ac:dyDescent="0.25">
      <c r="A228" s="13">
        <f t="shared" si="7"/>
        <v>1973</v>
      </c>
      <c r="B228" s="10" t="s">
        <v>14</v>
      </c>
      <c r="C228" s="10" t="str">
        <f t="shared" si="6"/>
        <v>Abril 1973</v>
      </c>
      <c r="D228" s="19">
        <v>0.17319020099888399</v>
      </c>
      <c r="E228" s="11">
        <v>3.5099999999999999E-2</v>
      </c>
      <c r="F228" s="11">
        <v>0.1042</v>
      </c>
      <c r="G228" s="12">
        <v>0.2009</v>
      </c>
    </row>
    <row r="229" spans="1:7" ht="10.5" thickBot="1" x14ac:dyDescent="0.25">
      <c r="A229" s="13">
        <f t="shared" si="7"/>
        <v>1973</v>
      </c>
      <c r="B229" s="10" t="s">
        <v>15</v>
      </c>
      <c r="C229" s="10" t="str">
        <f t="shared" si="6"/>
        <v>Mayo 1973</v>
      </c>
      <c r="D229" s="19">
        <v>0.178375632489673</v>
      </c>
      <c r="E229" s="11">
        <v>2.9899999999999999E-2</v>
      </c>
      <c r="F229" s="11">
        <v>0.13719999999999999</v>
      </c>
      <c r="G229" s="12">
        <v>0.22700000000000001</v>
      </c>
    </row>
    <row r="230" spans="1:7" ht="10.5" thickBot="1" x14ac:dyDescent="0.25">
      <c r="A230" s="13">
        <f t="shared" si="7"/>
        <v>1973</v>
      </c>
      <c r="B230" s="10" t="s">
        <v>16</v>
      </c>
      <c r="C230" s="10" t="str">
        <f t="shared" si="6"/>
        <v>Junio 1973</v>
      </c>
      <c r="D230" s="19">
        <v>0.18182095350711</v>
      </c>
      <c r="E230" s="11">
        <v>1.9300000000000001E-2</v>
      </c>
      <c r="F230" s="11">
        <v>0.15920000000000001</v>
      </c>
      <c r="G230" s="12">
        <v>0.23769999999999999</v>
      </c>
    </row>
    <row r="231" spans="1:7" ht="10.5" thickBot="1" x14ac:dyDescent="0.25">
      <c r="A231" s="13">
        <f t="shared" si="7"/>
        <v>1973</v>
      </c>
      <c r="B231" s="10" t="s">
        <v>5</v>
      </c>
      <c r="C231" s="10" t="str">
        <f t="shared" si="6"/>
        <v>Julio 1973</v>
      </c>
      <c r="D231" s="19">
        <v>0.185439378173721</v>
      </c>
      <c r="E231" s="11">
        <v>1.9900000000000001E-2</v>
      </c>
      <c r="F231" s="11">
        <v>0.18229999999999999</v>
      </c>
      <c r="G231" s="14">
        <v>0.24779999999999999</v>
      </c>
    </row>
    <row r="232" spans="1:7" ht="10.5" thickBot="1" x14ac:dyDescent="0.25">
      <c r="A232" s="13">
        <f t="shared" si="7"/>
        <v>1973</v>
      </c>
      <c r="B232" s="10" t="s">
        <v>6</v>
      </c>
      <c r="C232" s="10" t="str">
        <f t="shared" si="6"/>
        <v>Agosto 1973</v>
      </c>
      <c r="D232" s="19">
        <v>0.18468484170292501</v>
      </c>
      <c r="E232" s="11">
        <v>-4.1000000000000003E-3</v>
      </c>
      <c r="F232" s="11">
        <v>0.17749999999999999</v>
      </c>
      <c r="G232" s="14">
        <v>0.2344</v>
      </c>
    </row>
    <row r="233" spans="1:7" ht="10.5" thickBot="1" x14ac:dyDescent="0.25">
      <c r="A233" s="13">
        <f t="shared" si="7"/>
        <v>1973</v>
      </c>
      <c r="B233" s="10" t="s">
        <v>7</v>
      </c>
      <c r="C233" s="10" t="str">
        <f t="shared" si="6"/>
        <v>Septiembre 1973</v>
      </c>
      <c r="D233" s="19">
        <v>0.18723951652541701</v>
      </c>
      <c r="E233" s="11">
        <v>1.38E-2</v>
      </c>
      <c r="F233" s="11">
        <v>0.19370000000000001</v>
      </c>
      <c r="G233" s="14">
        <v>0.2336</v>
      </c>
    </row>
    <row r="234" spans="1:7" ht="10.5" thickBot="1" x14ac:dyDescent="0.25">
      <c r="A234" s="13">
        <f t="shared" si="7"/>
        <v>1973</v>
      </c>
      <c r="B234" s="10" t="s">
        <v>8</v>
      </c>
      <c r="C234" s="10" t="str">
        <f t="shared" si="6"/>
        <v>Octubre 1973</v>
      </c>
      <c r="D234" s="19">
        <v>0.188271856433194</v>
      </c>
      <c r="E234" s="11">
        <v>5.4999999999999997E-3</v>
      </c>
      <c r="F234" s="11">
        <v>0.20030000000000001</v>
      </c>
      <c r="G234" s="14">
        <v>0.21640000000000001</v>
      </c>
    </row>
    <row r="235" spans="1:7" ht="10.5" thickBot="1" x14ac:dyDescent="0.25">
      <c r="A235" s="13">
        <f t="shared" si="7"/>
        <v>1973</v>
      </c>
      <c r="B235" s="10" t="s">
        <v>9</v>
      </c>
      <c r="C235" s="10" t="str">
        <f t="shared" si="6"/>
        <v>Noviembre 1973</v>
      </c>
      <c r="D235" s="19">
        <v>0.19235724215342501</v>
      </c>
      <c r="E235" s="11">
        <v>2.1700000000000001E-2</v>
      </c>
      <c r="F235" s="11">
        <v>0.22639999999999999</v>
      </c>
      <c r="G235" s="14">
        <v>0.22889999999999999</v>
      </c>
    </row>
    <row r="236" spans="1:7" ht="10.5" thickBot="1" x14ac:dyDescent="0.25">
      <c r="A236" s="15">
        <f t="shared" si="7"/>
        <v>1973</v>
      </c>
      <c r="B236" s="10" t="s">
        <v>10</v>
      </c>
      <c r="C236" s="10" t="str">
        <f t="shared" si="6"/>
        <v>Diciembre 1973</v>
      </c>
      <c r="D236" s="19">
        <v>0.19462503955732499</v>
      </c>
      <c r="E236" s="11">
        <v>1.18E-2</v>
      </c>
      <c r="F236" s="11">
        <v>0.24079999999999999</v>
      </c>
      <c r="G236" s="14">
        <v>0.24079999999999999</v>
      </c>
    </row>
    <row r="237" spans="1:7" ht="10.5" thickBot="1" x14ac:dyDescent="0.25">
      <c r="A237" s="16">
        <f t="shared" si="7"/>
        <v>1974</v>
      </c>
      <c r="B237" s="3" t="s">
        <v>11</v>
      </c>
      <c r="C237" s="3" t="str">
        <f t="shared" si="6"/>
        <v>Enero 1974</v>
      </c>
      <c r="D237" s="20">
        <v>0.200180410298366</v>
      </c>
      <c r="E237" s="7">
        <v>2.8500000000000001E-2</v>
      </c>
      <c r="F237" s="7">
        <v>2.8500000000000001E-2</v>
      </c>
      <c r="G237" s="17">
        <v>0.26279999999999998</v>
      </c>
    </row>
    <row r="238" spans="1:7" ht="10.5" thickBot="1" x14ac:dyDescent="0.25">
      <c r="A238" s="6">
        <f t="shared" si="7"/>
        <v>1974</v>
      </c>
      <c r="B238" s="3" t="s">
        <v>12</v>
      </c>
      <c r="C238" s="3" t="str">
        <f t="shared" si="6"/>
        <v>Febrero 1974</v>
      </c>
      <c r="D238" s="20">
        <v>0.205256256011251</v>
      </c>
      <c r="E238" s="7">
        <v>2.5399999999999999E-2</v>
      </c>
      <c r="F238" s="7">
        <v>5.4600000000000003E-2</v>
      </c>
      <c r="G238" s="17">
        <v>0.26910000000000001</v>
      </c>
    </row>
    <row r="239" spans="1:7" ht="10.5" thickBot="1" x14ac:dyDescent="0.25">
      <c r="A239" s="6">
        <f t="shared" si="7"/>
        <v>1974</v>
      </c>
      <c r="B239" s="3" t="s">
        <v>13</v>
      </c>
      <c r="C239" s="3" t="str">
        <f t="shared" si="6"/>
        <v>Marzo 1974</v>
      </c>
      <c r="D239" s="20">
        <v>0.21200171434036599</v>
      </c>
      <c r="E239" s="7">
        <v>3.2899999999999999E-2</v>
      </c>
      <c r="F239" s="7">
        <v>8.9300000000000004E-2</v>
      </c>
      <c r="G239" s="17">
        <v>0.26700000000000002</v>
      </c>
    </row>
    <row r="240" spans="1:7" ht="10.5" thickBot="1" x14ac:dyDescent="0.25">
      <c r="A240" s="6">
        <f t="shared" si="7"/>
        <v>1974</v>
      </c>
      <c r="B240" s="3" t="s">
        <v>14</v>
      </c>
      <c r="C240" s="3" t="str">
        <f t="shared" si="6"/>
        <v>Abril 1974</v>
      </c>
      <c r="D240" s="20">
        <v>0.217758108673997</v>
      </c>
      <c r="E240" s="7">
        <v>2.7199999999999998E-2</v>
      </c>
      <c r="F240" s="7">
        <v>0.11890000000000001</v>
      </c>
      <c r="G240" s="17">
        <v>0.25729999999999997</v>
      </c>
    </row>
    <row r="241" spans="1:7" ht="10.5" thickBot="1" x14ac:dyDescent="0.25">
      <c r="A241" s="6">
        <f t="shared" si="7"/>
        <v>1974</v>
      </c>
      <c r="B241" s="3" t="s">
        <v>15</v>
      </c>
      <c r="C241" s="3" t="str">
        <f t="shared" si="6"/>
        <v>Mayo 1974</v>
      </c>
      <c r="D241" s="20">
        <v>0.220339307442733</v>
      </c>
      <c r="E241" s="7">
        <v>1.1900000000000001E-2</v>
      </c>
      <c r="F241" s="7">
        <v>0.1321</v>
      </c>
      <c r="G241" s="17">
        <v>0.23530000000000001</v>
      </c>
    </row>
    <row r="242" spans="1:7" ht="10.5" thickBot="1" x14ac:dyDescent="0.25">
      <c r="A242" s="6">
        <f t="shared" si="7"/>
        <v>1974</v>
      </c>
      <c r="B242" s="3" t="s">
        <v>16</v>
      </c>
      <c r="C242" s="3" t="str">
        <f t="shared" si="6"/>
        <v>Junio 1974</v>
      </c>
      <c r="D242" s="20">
        <v>0.222638514782975</v>
      </c>
      <c r="E242" s="7">
        <v>1.04E-2</v>
      </c>
      <c r="F242" s="7">
        <v>0.1439</v>
      </c>
      <c r="G242" s="17">
        <v>0.22450000000000001</v>
      </c>
    </row>
    <row r="243" spans="1:7" ht="10.5" thickBot="1" x14ac:dyDescent="0.25">
      <c r="A243" s="6">
        <f t="shared" si="7"/>
        <v>1974</v>
      </c>
      <c r="B243" s="3" t="s">
        <v>5</v>
      </c>
      <c r="C243" s="3" t="str">
        <f t="shared" si="6"/>
        <v>Julio 1974</v>
      </c>
      <c r="D243" s="20">
        <v>0.22475414849526201</v>
      </c>
      <c r="E243" s="7">
        <v>9.4999999999999998E-3</v>
      </c>
      <c r="F243" s="7">
        <v>0.15479999999999999</v>
      </c>
      <c r="G243" s="17">
        <v>0.21199999999999999</v>
      </c>
    </row>
    <row r="244" spans="1:7" ht="10.5" thickBot="1" x14ac:dyDescent="0.25">
      <c r="A244" s="6">
        <f t="shared" si="7"/>
        <v>1974</v>
      </c>
      <c r="B244" s="3" t="s">
        <v>6</v>
      </c>
      <c r="C244" s="3" t="str">
        <f t="shared" si="6"/>
        <v>Agosto 1974</v>
      </c>
      <c r="D244" s="20">
        <v>0.22542981112591101</v>
      </c>
      <c r="E244" s="7">
        <v>3.0000000000000001E-3</v>
      </c>
      <c r="F244" s="7">
        <v>0.1583</v>
      </c>
      <c r="G244" s="17">
        <v>0.22059999999999999</v>
      </c>
    </row>
    <row r="245" spans="1:7" ht="10.5" thickBot="1" x14ac:dyDescent="0.25">
      <c r="A245" s="6">
        <f t="shared" si="7"/>
        <v>1974</v>
      </c>
      <c r="B245" s="3" t="s">
        <v>7</v>
      </c>
      <c r="C245" s="3" t="str">
        <f t="shared" si="6"/>
        <v>Septiembre 1974</v>
      </c>
      <c r="D245" s="20">
        <v>0.228916314059885</v>
      </c>
      <c r="E245" s="7">
        <v>1.55E-2</v>
      </c>
      <c r="F245" s="7">
        <v>0.1762</v>
      </c>
      <c r="G245" s="17">
        <v>0.22259999999999999</v>
      </c>
    </row>
    <row r="246" spans="1:7" ht="10.5" thickBot="1" x14ac:dyDescent="0.25">
      <c r="A246" s="6">
        <f t="shared" si="7"/>
        <v>1974</v>
      </c>
      <c r="B246" s="3" t="s">
        <v>8</v>
      </c>
      <c r="C246" s="3" t="str">
        <f t="shared" si="6"/>
        <v>Octubre 1974</v>
      </c>
      <c r="D246" s="20">
        <v>0.238538224559351</v>
      </c>
      <c r="E246" s="7">
        <v>4.2000000000000003E-2</v>
      </c>
      <c r="F246" s="7">
        <v>0.22559999999999999</v>
      </c>
      <c r="G246" s="17">
        <v>0.26700000000000002</v>
      </c>
    </row>
    <row r="247" spans="1:7" ht="10.5" thickBot="1" x14ac:dyDescent="0.25">
      <c r="A247" s="6">
        <f t="shared" si="7"/>
        <v>1974</v>
      </c>
      <c r="B247" s="3" t="s">
        <v>9</v>
      </c>
      <c r="C247" s="3" t="str">
        <f t="shared" si="6"/>
        <v>Noviembre 1974</v>
      </c>
      <c r="D247" s="20">
        <v>0.24125972104374899</v>
      </c>
      <c r="E247" s="7">
        <v>1.14E-2</v>
      </c>
      <c r="F247" s="7">
        <v>0.23960000000000001</v>
      </c>
      <c r="G247" s="17">
        <v>0.25419999999999998</v>
      </c>
    </row>
    <row r="248" spans="1:7" ht="10.5" thickBot="1" x14ac:dyDescent="0.25">
      <c r="A248" s="8">
        <f t="shared" si="7"/>
        <v>1974</v>
      </c>
      <c r="B248" s="3" t="s">
        <v>10</v>
      </c>
      <c r="C248" s="3" t="str">
        <f t="shared" si="6"/>
        <v>Diciembre 1974</v>
      </c>
      <c r="D248" s="20">
        <v>0.245909089620966</v>
      </c>
      <c r="E248" s="7">
        <v>1.9300000000000001E-2</v>
      </c>
      <c r="F248" s="7">
        <v>0.26350000000000001</v>
      </c>
      <c r="G248" s="17">
        <v>0.26350000000000001</v>
      </c>
    </row>
    <row r="249" spans="1:7" ht="10.5" thickBot="1" x14ac:dyDescent="0.25">
      <c r="A249" s="9">
        <f t="shared" si="7"/>
        <v>1975</v>
      </c>
      <c r="B249" s="10" t="s">
        <v>11</v>
      </c>
      <c r="C249" s="10" t="str">
        <f t="shared" si="6"/>
        <v>Enero 1975</v>
      </c>
      <c r="D249" s="19">
        <v>0.25295468734179399</v>
      </c>
      <c r="E249" s="11">
        <v>2.86E-2</v>
      </c>
      <c r="F249" s="11">
        <v>2.86E-2</v>
      </c>
      <c r="G249" s="12">
        <v>0.2636</v>
      </c>
    </row>
    <row r="250" spans="1:7" ht="10.5" thickBot="1" x14ac:dyDescent="0.25">
      <c r="A250" s="13">
        <f t="shared" si="7"/>
        <v>1975</v>
      </c>
      <c r="B250" s="10" t="s">
        <v>12</v>
      </c>
      <c r="C250" s="10" t="str">
        <f t="shared" si="6"/>
        <v>Febrero 1975</v>
      </c>
      <c r="D250" s="19">
        <v>0.25716850480173498</v>
      </c>
      <c r="E250" s="11">
        <v>1.67E-2</v>
      </c>
      <c r="F250" s="11">
        <v>4.58E-2</v>
      </c>
      <c r="G250" s="12">
        <v>0.25290000000000001</v>
      </c>
    </row>
    <row r="251" spans="1:7" ht="10.5" thickBot="1" x14ac:dyDescent="0.25">
      <c r="A251" s="13">
        <f t="shared" si="7"/>
        <v>1975</v>
      </c>
      <c r="B251" s="10" t="s">
        <v>13</v>
      </c>
      <c r="C251" s="10" t="str">
        <f t="shared" si="6"/>
        <v>Marzo 1975</v>
      </c>
      <c r="D251" s="19">
        <v>0.26422596849851399</v>
      </c>
      <c r="E251" s="11">
        <v>2.7400000000000001E-2</v>
      </c>
      <c r="F251" s="11">
        <v>7.4499999999999997E-2</v>
      </c>
      <c r="G251" s="12">
        <v>0.24629999999999999</v>
      </c>
    </row>
    <row r="252" spans="1:7" ht="10.5" thickBot="1" x14ac:dyDescent="0.25">
      <c r="A252" s="13">
        <f t="shared" si="7"/>
        <v>1975</v>
      </c>
      <c r="B252" s="10" t="s">
        <v>14</v>
      </c>
      <c r="C252" s="10" t="str">
        <f t="shared" si="6"/>
        <v>Abril 1975</v>
      </c>
      <c r="D252" s="19">
        <v>0.27086044505255302</v>
      </c>
      <c r="E252" s="11">
        <v>2.5100000000000001E-2</v>
      </c>
      <c r="F252" s="11">
        <v>0.10150000000000001</v>
      </c>
      <c r="G252" s="12">
        <v>0.24390000000000001</v>
      </c>
    </row>
    <row r="253" spans="1:7" ht="10.5" thickBot="1" x14ac:dyDescent="0.25">
      <c r="A253" s="13">
        <f t="shared" si="7"/>
        <v>1975</v>
      </c>
      <c r="B253" s="10" t="s">
        <v>15</v>
      </c>
      <c r="C253" s="10" t="str">
        <f t="shared" si="6"/>
        <v>Mayo 1975</v>
      </c>
      <c r="D253" s="19">
        <v>0.27581623500875302</v>
      </c>
      <c r="E253" s="11">
        <v>1.83E-2</v>
      </c>
      <c r="F253" s="11">
        <v>0.1216</v>
      </c>
      <c r="G253" s="12">
        <v>0.25180000000000002</v>
      </c>
    </row>
    <row r="254" spans="1:7" ht="10.5" thickBot="1" x14ac:dyDescent="0.25">
      <c r="A254" s="13">
        <f t="shared" si="7"/>
        <v>1975</v>
      </c>
      <c r="B254" s="10" t="s">
        <v>16</v>
      </c>
      <c r="C254" s="10" t="str">
        <f t="shared" si="6"/>
        <v>Junio 1975</v>
      </c>
      <c r="D254" s="19">
        <v>0.27784810889079498</v>
      </c>
      <c r="E254" s="11">
        <v>7.4000000000000003E-3</v>
      </c>
      <c r="F254" s="11">
        <v>0.12989999999999999</v>
      </c>
      <c r="G254" s="12">
        <v>0.248</v>
      </c>
    </row>
    <row r="255" spans="1:7" ht="10.5" thickBot="1" x14ac:dyDescent="0.25">
      <c r="A255" s="13">
        <f t="shared" si="7"/>
        <v>1975</v>
      </c>
      <c r="B255" s="10" t="s">
        <v>5</v>
      </c>
      <c r="C255" s="10" t="str">
        <f t="shared" si="6"/>
        <v>Julio 1975</v>
      </c>
      <c r="D255" s="19">
        <v>0.27950445953390202</v>
      </c>
      <c r="E255" s="11">
        <v>6.0000000000000001E-3</v>
      </c>
      <c r="F255" s="11">
        <v>0.1366</v>
      </c>
      <c r="G255" s="14">
        <v>0.24360000000000001</v>
      </c>
    </row>
    <row r="256" spans="1:7" ht="10.5" thickBot="1" x14ac:dyDescent="0.25">
      <c r="A256" s="13">
        <f t="shared" si="7"/>
        <v>1975</v>
      </c>
      <c r="B256" s="10" t="s">
        <v>6</v>
      </c>
      <c r="C256" s="10" t="str">
        <f t="shared" si="6"/>
        <v>Agosto 1975</v>
      </c>
      <c r="D256" s="19">
        <v>0.279507949526829</v>
      </c>
      <c r="E256" s="11">
        <v>0</v>
      </c>
      <c r="F256" s="11">
        <v>0.1366</v>
      </c>
      <c r="G256" s="14">
        <v>0.2399</v>
      </c>
    </row>
    <row r="257" spans="1:7" ht="10.5" thickBot="1" x14ac:dyDescent="0.25">
      <c r="A257" s="13">
        <f t="shared" si="7"/>
        <v>1975</v>
      </c>
      <c r="B257" s="10" t="s">
        <v>7</v>
      </c>
      <c r="C257" s="10" t="str">
        <f t="shared" si="6"/>
        <v>Septiembre 1975</v>
      </c>
      <c r="D257" s="19">
        <v>0.28328691386807803</v>
      </c>
      <c r="E257" s="11">
        <v>1.35E-2</v>
      </c>
      <c r="F257" s="11">
        <v>0.152</v>
      </c>
      <c r="G257" s="14">
        <v>0.23749999999999999</v>
      </c>
    </row>
    <row r="258" spans="1:7" ht="10.5" thickBot="1" x14ac:dyDescent="0.25">
      <c r="A258" s="13">
        <f t="shared" si="7"/>
        <v>1975</v>
      </c>
      <c r="B258" s="10" t="s">
        <v>8</v>
      </c>
      <c r="C258" s="10" t="str">
        <f t="shared" si="6"/>
        <v>Octubre 1975</v>
      </c>
      <c r="D258" s="19">
        <v>0.28604191428457298</v>
      </c>
      <c r="E258" s="11">
        <v>9.7000000000000003E-3</v>
      </c>
      <c r="F258" s="11">
        <v>0.16320000000000001</v>
      </c>
      <c r="G258" s="14">
        <v>0.1991</v>
      </c>
    </row>
    <row r="259" spans="1:7" ht="10.5" thickBot="1" x14ac:dyDescent="0.25">
      <c r="A259" s="13">
        <f t="shared" si="7"/>
        <v>1975</v>
      </c>
      <c r="B259" s="10" t="s">
        <v>9</v>
      </c>
      <c r="C259" s="10" t="str">
        <f t="shared" si="6"/>
        <v>Noviembre 1975</v>
      </c>
      <c r="D259" s="19">
        <v>0.28770943290504702</v>
      </c>
      <c r="E259" s="11">
        <v>5.7999999999999996E-3</v>
      </c>
      <c r="F259" s="11">
        <v>0.17</v>
      </c>
      <c r="G259" s="14">
        <v>0.1925</v>
      </c>
    </row>
    <row r="260" spans="1:7" ht="10.5" thickBot="1" x14ac:dyDescent="0.25">
      <c r="A260" s="15">
        <f t="shared" si="7"/>
        <v>1975</v>
      </c>
      <c r="B260" s="10" t="s">
        <v>10</v>
      </c>
      <c r="C260" s="10" t="str">
        <f t="shared" ref="C260:C323" si="8">B260&amp;" "&amp;A260</f>
        <v>Diciembre 1975</v>
      </c>
      <c r="D260" s="19">
        <v>0.28961147905020801</v>
      </c>
      <c r="E260" s="11">
        <v>6.6E-3</v>
      </c>
      <c r="F260" s="11">
        <v>0.1777</v>
      </c>
      <c r="G260" s="14">
        <v>0.1777</v>
      </c>
    </row>
    <row r="261" spans="1:7" ht="10.5" thickBot="1" x14ac:dyDescent="0.25">
      <c r="A261" s="16">
        <f t="shared" si="7"/>
        <v>1976</v>
      </c>
      <c r="B261" s="3" t="s">
        <v>11</v>
      </c>
      <c r="C261" s="3" t="str">
        <f t="shared" si="8"/>
        <v>Enero 1976</v>
      </c>
      <c r="D261" s="20">
        <v>0.29624176761273502</v>
      </c>
      <c r="E261" s="7">
        <v>2.29E-2</v>
      </c>
      <c r="F261" s="7">
        <v>2.29E-2</v>
      </c>
      <c r="G261" s="17">
        <v>0.1711</v>
      </c>
    </row>
    <row r="262" spans="1:7" ht="10.5" thickBot="1" x14ac:dyDescent="0.25">
      <c r="A262" s="6">
        <f t="shared" si="7"/>
        <v>1976</v>
      </c>
      <c r="B262" s="3" t="s">
        <v>12</v>
      </c>
      <c r="C262" s="3" t="str">
        <f t="shared" si="8"/>
        <v>Febrero 1976</v>
      </c>
      <c r="D262" s="20">
        <v>0.303088435736729</v>
      </c>
      <c r="E262" s="7">
        <v>2.3099999999999999E-2</v>
      </c>
      <c r="F262" s="7">
        <v>4.65E-2</v>
      </c>
      <c r="G262" s="17">
        <v>0.17860000000000001</v>
      </c>
    </row>
    <row r="263" spans="1:7" ht="10.5" thickBot="1" x14ac:dyDescent="0.25">
      <c r="A263" s="6">
        <f t="shared" si="7"/>
        <v>1976</v>
      </c>
      <c r="B263" s="3" t="s">
        <v>13</v>
      </c>
      <c r="C263" s="3" t="str">
        <f t="shared" si="8"/>
        <v>Marzo 1976</v>
      </c>
      <c r="D263" s="20">
        <v>0.30947233079861702</v>
      </c>
      <c r="E263" s="7">
        <v>2.1100000000000001E-2</v>
      </c>
      <c r="F263" s="7">
        <v>6.8599999999999994E-2</v>
      </c>
      <c r="G263" s="17">
        <v>0.17119999999999999</v>
      </c>
    </row>
    <row r="264" spans="1:7" ht="10.5" thickBot="1" x14ac:dyDescent="0.25">
      <c r="A264" s="6">
        <f t="shared" si="7"/>
        <v>1976</v>
      </c>
      <c r="B264" s="3" t="s">
        <v>14</v>
      </c>
      <c r="C264" s="3" t="str">
        <f t="shared" si="8"/>
        <v>Abril 1976</v>
      </c>
      <c r="D264" s="20">
        <v>0.31513868331473299</v>
      </c>
      <c r="E264" s="7">
        <v>1.83E-2</v>
      </c>
      <c r="F264" s="7">
        <v>8.8099999999999998E-2</v>
      </c>
      <c r="G264" s="17">
        <v>0.16350000000000001</v>
      </c>
    </row>
    <row r="265" spans="1:7" ht="10.5" thickBot="1" x14ac:dyDescent="0.25">
      <c r="A265" s="6">
        <f t="shared" si="7"/>
        <v>1976</v>
      </c>
      <c r="B265" s="3" t="s">
        <v>15</v>
      </c>
      <c r="C265" s="3" t="str">
        <f t="shared" si="8"/>
        <v>Mayo 1976</v>
      </c>
      <c r="D265" s="20">
        <v>0.31908656331364399</v>
      </c>
      <c r="E265" s="7">
        <v>1.2500000000000001E-2</v>
      </c>
      <c r="F265" s="7">
        <v>0.1018</v>
      </c>
      <c r="G265" s="17">
        <v>0.15690000000000001</v>
      </c>
    </row>
    <row r="266" spans="1:7" ht="10.5" thickBot="1" x14ac:dyDescent="0.25">
      <c r="A266" s="6">
        <f t="shared" si="7"/>
        <v>1976</v>
      </c>
      <c r="B266" s="3" t="s">
        <v>16</v>
      </c>
      <c r="C266" s="3" t="str">
        <f t="shared" si="8"/>
        <v>Junio 1976</v>
      </c>
      <c r="D266" s="20">
        <v>0.32711075505117498</v>
      </c>
      <c r="E266" s="7">
        <v>2.5100000000000001E-2</v>
      </c>
      <c r="F266" s="7">
        <v>0.1295</v>
      </c>
      <c r="G266" s="17">
        <v>0.17730000000000001</v>
      </c>
    </row>
    <row r="267" spans="1:7" ht="10.5" thickBot="1" x14ac:dyDescent="0.25">
      <c r="A267" s="6">
        <f t="shared" si="7"/>
        <v>1976</v>
      </c>
      <c r="B267" s="3" t="s">
        <v>5</v>
      </c>
      <c r="C267" s="3" t="str">
        <f t="shared" si="8"/>
        <v>Julio 1976</v>
      </c>
      <c r="D267" s="20">
        <v>0.33563331777866801</v>
      </c>
      <c r="E267" s="7">
        <v>2.6100000000000002E-2</v>
      </c>
      <c r="F267" s="7">
        <v>0.15890000000000001</v>
      </c>
      <c r="G267" s="17">
        <v>0.20080000000000001</v>
      </c>
    </row>
    <row r="268" spans="1:7" ht="10.5" thickBot="1" x14ac:dyDescent="0.25">
      <c r="A268" s="6">
        <f t="shared" si="7"/>
        <v>1976</v>
      </c>
      <c r="B268" s="3" t="s">
        <v>6</v>
      </c>
      <c r="C268" s="3" t="str">
        <f t="shared" si="8"/>
        <v>Agosto 1976</v>
      </c>
      <c r="D268" s="20">
        <v>0.34048999193574297</v>
      </c>
      <c r="E268" s="7">
        <v>1.4500000000000001E-2</v>
      </c>
      <c r="F268" s="7">
        <v>0.1757</v>
      </c>
      <c r="G268" s="17">
        <v>0.21820000000000001</v>
      </c>
    </row>
    <row r="269" spans="1:7" ht="10.5" thickBot="1" x14ac:dyDescent="0.25">
      <c r="A269" s="6">
        <f t="shared" si="7"/>
        <v>1976</v>
      </c>
      <c r="B269" s="3" t="s">
        <v>7</v>
      </c>
      <c r="C269" s="3" t="str">
        <f t="shared" si="8"/>
        <v>Septiembre 1976</v>
      </c>
      <c r="D269" s="20">
        <v>0.34636225403454701</v>
      </c>
      <c r="E269" s="7">
        <v>1.72E-2</v>
      </c>
      <c r="F269" s="7">
        <v>0.19600000000000001</v>
      </c>
      <c r="G269" s="17">
        <v>0.22270000000000001</v>
      </c>
    </row>
    <row r="270" spans="1:7" ht="10.5" thickBot="1" x14ac:dyDescent="0.25">
      <c r="A270" s="6">
        <f t="shared" si="7"/>
        <v>1976</v>
      </c>
      <c r="B270" s="3" t="s">
        <v>8</v>
      </c>
      <c r="C270" s="3" t="str">
        <f t="shared" si="8"/>
        <v>Octubre 1976</v>
      </c>
      <c r="D270" s="20">
        <v>0.35195252470485699</v>
      </c>
      <c r="E270" s="7">
        <v>1.61E-2</v>
      </c>
      <c r="F270" s="7">
        <v>0.21529999999999999</v>
      </c>
      <c r="G270" s="17">
        <v>0.23039999999999999</v>
      </c>
    </row>
    <row r="271" spans="1:7" ht="10.5" thickBot="1" x14ac:dyDescent="0.25">
      <c r="A271" s="6">
        <f t="shared" si="7"/>
        <v>1976</v>
      </c>
      <c r="B271" s="3" t="s">
        <v>9</v>
      </c>
      <c r="C271" s="3" t="str">
        <f t="shared" si="8"/>
        <v>Noviembre 1976</v>
      </c>
      <c r="D271" s="20">
        <v>0.36052534333049702</v>
      </c>
      <c r="E271" s="7">
        <v>2.4400000000000002E-2</v>
      </c>
      <c r="F271" s="7">
        <v>0.24490000000000001</v>
      </c>
      <c r="G271" s="17">
        <v>0.25309999999999999</v>
      </c>
    </row>
    <row r="272" spans="1:7" ht="10.5" thickBot="1" x14ac:dyDescent="0.25">
      <c r="A272" s="8">
        <f t="shared" si="7"/>
        <v>1976</v>
      </c>
      <c r="B272" s="3" t="s">
        <v>10</v>
      </c>
      <c r="C272" s="3" t="str">
        <f t="shared" si="8"/>
        <v>Diciembre 1976</v>
      </c>
      <c r="D272" s="20">
        <v>0.36422403783442697</v>
      </c>
      <c r="E272" s="7">
        <v>1.03E-2</v>
      </c>
      <c r="F272" s="7">
        <v>0.2576</v>
      </c>
      <c r="G272" s="17">
        <v>0.2576</v>
      </c>
    </row>
    <row r="273" spans="1:7" ht="10.5" thickBot="1" x14ac:dyDescent="0.25">
      <c r="A273" s="9">
        <f t="shared" si="7"/>
        <v>1977</v>
      </c>
      <c r="B273" s="10" t="s">
        <v>11</v>
      </c>
      <c r="C273" s="10" t="str">
        <f t="shared" si="8"/>
        <v>Enero 1977</v>
      </c>
      <c r="D273" s="19">
        <v>0.37243668919001099</v>
      </c>
      <c r="E273" s="11">
        <v>2.2499999999999999E-2</v>
      </c>
      <c r="F273" s="11">
        <v>2.2499999999999999E-2</v>
      </c>
      <c r="G273" s="12">
        <v>0.25719999999999998</v>
      </c>
    </row>
    <row r="274" spans="1:7" ht="10.5" thickBot="1" x14ac:dyDescent="0.25">
      <c r="A274" s="13">
        <f t="shared" si="7"/>
        <v>1977</v>
      </c>
      <c r="B274" s="10" t="s">
        <v>12</v>
      </c>
      <c r="C274" s="10" t="str">
        <f t="shared" si="8"/>
        <v>Febrero 1977</v>
      </c>
      <c r="D274" s="19">
        <v>0.38654044860620401</v>
      </c>
      <c r="E274" s="11">
        <v>3.7900000000000003E-2</v>
      </c>
      <c r="F274" s="11">
        <v>6.13E-2</v>
      </c>
      <c r="G274" s="12">
        <v>0.27529999999999999</v>
      </c>
    </row>
    <row r="275" spans="1:7" ht="10.5" thickBot="1" x14ac:dyDescent="0.25">
      <c r="A275" s="13">
        <f t="shared" si="7"/>
        <v>1977</v>
      </c>
      <c r="B275" s="10" t="s">
        <v>13</v>
      </c>
      <c r="C275" s="10" t="str">
        <f t="shared" si="8"/>
        <v>Marzo 1977</v>
      </c>
      <c r="D275" s="19">
        <v>0.40204578918183997</v>
      </c>
      <c r="E275" s="11">
        <v>4.0099999999999997E-2</v>
      </c>
      <c r="F275" s="11">
        <v>0.1038</v>
      </c>
      <c r="G275" s="12">
        <v>0.29909999999999998</v>
      </c>
    </row>
    <row r="276" spans="1:7" ht="10.5" thickBot="1" x14ac:dyDescent="0.25">
      <c r="A276" s="13">
        <f t="shared" si="7"/>
        <v>1977</v>
      </c>
      <c r="B276" s="10" t="s">
        <v>14</v>
      </c>
      <c r="C276" s="10" t="str">
        <f t="shared" si="8"/>
        <v>Abril 1977</v>
      </c>
      <c r="D276" s="19">
        <v>0.43058695133803798</v>
      </c>
      <c r="E276" s="11">
        <v>7.0999999999999994E-2</v>
      </c>
      <c r="F276" s="11">
        <v>0.1822</v>
      </c>
      <c r="G276" s="12">
        <v>0.36630000000000001</v>
      </c>
    </row>
    <row r="277" spans="1:7" ht="10.5" thickBot="1" x14ac:dyDescent="0.25">
      <c r="A277" s="13">
        <f t="shared" si="7"/>
        <v>1977</v>
      </c>
      <c r="B277" s="10" t="s">
        <v>15</v>
      </c>
      <c r="C277" s="10" t="str">
        <f t="shared" si="8"/>
        <v>Mayo 1977</v>
      </c>
      <c r="D277" s="19">
        <v>0.449431517146133</v>
      </c>
      <c r="E277" s="11">
        <v>4.3799999999999999E-2</v>
      </c>
      <c r="F277" s="11">
        <v>0.2339</v>
      </c>
      <c r="G277" s="12">
        <v>0.40849999999999997</v>
      </c>
    </row>
    <row r="278" spans="1:7" ht="10.5" thickBot="1" x14ac:dyDescent="0.25">
      <c r="A278" s="13">
        <f t="shared" ref="A278:A341" si="9">A266+1</f>
        <v>1977</v>
      </c>
      <c r="B278" s="10" t="s">
        <v>16</v>
      </c>
      <c r="C278" s="10" t="str">
        <f t="shared" si="8"/>
        <v>Junio 1977</v>
      </c>
      <c r="D278" s="19">
        <v>0.46333913895983397</v>
      </c>
      <c r="E278" s="11">
        <v>3.09E-2</v>
      </c>
      <c r="F278" s="11">
        <v>0.27210000000000001</v>
      </c>
      <c r="G278" s="12">
        <v>0.41649999999999998</v>
      </c>
    </row>
    <row r="279" spans="1:7" ht="10.5" thickBot="1" x14ac:dyDescent="0.25">
      <c r="A279" s="13">
        <f t="shared" si="9"/>
        <v>1977</v>
      </c>
      <c r="B279" s="10" t="s">
        <v>5</v>
      </c>
      <c r="C279" s="10" t="str">
        <f t="shared" si="8"/>
        <v>Julio 1977</v>
      </c>
      <c r="D279" s="19">
        <v>0.46802480346349101</v>
      </c>
      <c r="E279" s="11">
        <v>1.01E-2</v>
      </c>
      <c r="F279" s="11">
        <v>0.28499999999999998</v>
      </c>
      <c r="G279" s="14">
        <v>0.39450000000000002</v>
      </c>
    </row>
    <row r="280" spans="1:7" ht="10.5" thickBot="1" x14ac:dyDescent="0.25">
      <c r="A280" s="13">
        <f t="shared" si="9"/>
        <v>1977</v>
      </c>
      <c r="B280" s="10" t="s">
        <v>6</v>
      </c>
      <c r="C280" s="10" t="str">
        <f t="shared" si="8"/>
        <v>Agosto 1977</v>
      </c>
      <c r="D280" s="19">
        <v>0.46650805253746003</v>
      </c>
      <c r="E280" s="11">
        <v>-3.2000000000000002E-3</v>
      </c>
      <c r="F280" s="11">
        <v>0.28079999999999999</v>
      </c>
      <c r="G280" s="14">
        <v>0.37009999999999998</v>
      </c>
    </row>
    <row r="281" spans="1:7" ht="10.5" thickBot="1" x14ac:dyDescent="0.25">
      <c r="A281" s="13">
        <f t="shared" si="9"/>
        <v>1977</v>
      </c>
      <c r="B281" s="10" t="s">
        <v>7</v>
      </c>
      <c r="C281" s="10" t="str">
        <f t="shared" si="8"/>
        <v>Septiembre 1977</v>
      </c>
      <c r="D281" s="19">
        <v>0.46713834526005799</v>
      </c>
      <c r="E281" s="11">
        <v>1.4E-3</v>
      </c>
      <c r="F281" s="11">
        <v>0.28260000000000002</v>
      </c>
      <c r="G281" s="14">
        <v>0.34870000000000001</v>
      </c>
    </row>
    <row r="282" spans="1:7" ht="10.5" thickBot="1" x14ac:dyDescent="0.25">
      <c r="A282" s="13">
        <f t="shared" si="9"/>
        <v>1977</v>
      </c>
      <c r="B282" s="10" t="s">
        <v>8</v>
      </c>
      <c r="C282" s="10" t="str">
        <f t="shared" si="8"/>
        <v>Octubre 1977</v>
      </c>
      <c r="D282" s="19">
        <v>0.46599921156871799</v>
      </c>
      <c r="E282" s="11">
        <v>-2.3999999999999998E-3</v>
      </c>
      <c r="F282" s="11">
        <v>0.27939999999999998</v>
      </c>
      <c r="G282" s="14">
        <v>0.32400000000000001</v>
      </c>
    </row>
    <row r="283" spans="1:7" ht="10.5" thickBot="1" x14ac:dyDescent="0.25">
      <c r="A283" s="13">
        <f t="shared" si="9"/>
        <v>1977</v>
      </c>
      <c r="B283" s="10" t="s">
        <v>9</v>
      </c>
      <c r="C283" s="10" t="str">
        <f t="shared" si="8"/>
        <v>Noviembre 1977</v>
      </c>
      <c r="D283" s="19">
        <v>0.46667347820219501</v>
      </c>
      <c r="E283" s="11">
        <v>1.4E-3</v>
      </c>
      <c r="F283" s="11">
        <v>0.28129999999999999</v>
      </c>
      <c r="G283" s="14">
        <v>0.2944</v>
      </c>
    </row>
    <row r="284" spans="1:7" ht="10.5" thickBot="1" x14ac:dyDescent="0.25">
      <c r="A284" s="15">
        <f t="shared" si="9"/>
        <v>1977</v>
      </c>
      <c r="B284" s="10" t="s">
        <v>10</v>
      </c>
      <c r="C284" s="10" t="str">
        <f t="shared" si="8"/>
        <v>Diciembre 1977</v>
      </c>
      <c r="D284" s="19">
        <v>0.468798883894678</v>
      </c>
      <c r="E284" s="11">
        <v>4.5999999999999999E-3</v>
      </c>
      <c r="F284" s="11">
        <v>0.28710000000000002</v>
      </c>
      <c r="G284" s="14">
        <v>0.28710000000000002</v>
      </c>
    </row>
    <row r="285" spans="1:7" ht="10.5" thickBot="1" x14ac:dyDescent="0.25">
      <c r="A285" s="16">
        <f t="shared" si="9"/>
        <v>1978</v>
      </c>
      <c r="B285" s="3" t="s">
        <v>11</v>
      </c>
      <c r="C285" s="3" t="str">
        <f t="shared" si="8"/>
        <v>Enero 1978</v>
      </c>
      <c r="D285" s="20">
        <v>0.47379725176458598</v>
      </c>
      <c r="E285" s="7">
        <v>1.0699999999999999E-2</v>
      </c>
      <c r="F285" s="7">
        <v>1.0699999999999999E-2</v>
      </c>
      <c r="G285" s="17">
        <v>0.2722</v>
      </c>
    </row>
    <row r="286" spans="1:7" ht="10.5" thickBot="1" x14ac:dyDescent="0.25">
      <c r="A286" s="6">
        <f t="shared" si="9"/>
        <v>1978</v>
      </c>
      <c r="B286" s="3" t="s">
        <v>12</v>
      </c>
      <c r="C286" s="3" t="str">
        <f t="shared" si="8"/>
        <v>Febrero 1978</v>
      </c>
      <c r="D286" s="20">
        <v>0.48070953175560599</v>
      </c>
      <c r="E286" s="7">
        <v>1.46E-2</v>
      </c>
      <c r="F286" s="7">
        <v>2.5399999999999999E-2</v>
      </c>
      <c r="G286" s="17">
        <v>0.24360000000000001</v>
      </c>
    </row>
    <row r="287" spans="1:7" ht="10.5" thickBot="1" x14ac:dyDescent="0.25">
      <c r="A287" s="6">
        <f t="shared" si="9"/>
        <v>1978</v>
      </c>
      <c r="B287" s="3" t="s">
        <v>13</v>
      </c>
      <c r="C287" s="3" t="str">
        <f t="shared" si="8"/>
        <v>Marzo 1978</v>
      </c>
      <c r="D287" s="20">
        <v>0.49610877654626501</v>
      </c>
      <c r="E287" s="7">
        <v>3.2000000000000001E-2</v>
      </c>
      <c r="F287" s="7">
        <v>5.8299999999999998E-2</v>
      </c>
      <c r="G287" s="17">
        <v>0.23400000000000001</v>
      </c>
    </row>
    <row r="288" spans="1:7" ht="10.5" thickBot="1" x14ac:dyDescent="0.25">
      <c r="A288" s="6">
        <f t="shared" si="9"/>
        <v>1978</v>
      </c>
      <c r="B288" s="3" t="s">
        <v>14</v>
      </c>
      <c r="C288" s="3" t="str">
        <f t="shared" si="8"/>
        <v>Abril 1978</v>
      </c>
      <c r="D288" s="20">
        <v>0.50413366628238099</v>
      </c>
      <c r="E288" s="7">
        <v>1.6199999999999999E-2</v>
      </c>
      <c r="F288" s="7">
        <v>7.5399999999999995E-2</v>
      </c>
      <c r="G288" s="17">
        <v>0.17080000000000001</v>
      </c>
    </row>
    <row r="289" spans="1:7" ht="10.5" thickBot="1" x14ac:dyDescent="0.25">
      <c r="A289" s="6">
        <f t="shared" si="9"/>
        <v>1978</v>
      </c>
      <c r="B289" s="3" t="s">
        <v>15</v>
      </c>
      <c r="C289" s="3" t="str">
        <f t="shared" si="8"/>
        <v>Mayo 1978</v>
      </c>
      <c r="D289" s="20">
        <v>0.51572044279969298</v>
      </c>
      <c r="E289" s="7">
        <v>2.3E-2</v>
      </c>
      <c r="F289" s="7">
        <v>0.10009999999999999</v>
      </c>
      <c r="G289" s="17">
        <v>0.14749999999999999</v>
      </c>
    </row>
    <row r="290" spans="1:7" ht="10.5" thickBot="1" x14ac:dyDescent="0.25">
      <c r="A290" s="6">
        <f t="shared" si="9"/>
        <v>1978</v>
      </c>
      <c r="B290" s="3" t="s">
        <v>16</v>
      </c>
      <c r="C290" s="3" t="str">
        <f t="shared" si="8"/>
        <v>Junio 1978</v>
      </c>
      <c r="D290" s="20">
        <v>0.52881838625435296</v>
      </c>
      <c r="E290" s="7">
        <v>2.5399999999999999E-2</v>
      </c>
      <c r="F290" s="7">
        <v>0.128</v>
      </c>
      <c r="G290" s="17">
        <v>0.14130000000000001</v>
      </c>
    </row>
    <row r="291" spans="1:7" ht="10.5" thickBot="1" x14ac:dyDescent="0.25">
      <c r="A291" s="6">
        <f t="shared" si="9"/>
        <v>1978</v>
      </c>
      <c r="B291" s="3" t="s">
        <v>5</v>
      </c>
      <c r="C291" s="3" t="str">
        <f t="shared" si="8"/>
        <v>Julio 1978</v>
      </c>
      <c r="D291" s="20">
        <v>0.52741680509490896</v>
      </c>
      <c r="E291" s="7">
        <v>-2.7000000000000001E-3</v>
      </c>
      <c r="F291" s="7">
        <v>0.125</v>
      </c>
      <c r="G291" s="17">
        <v>0.12690000000000001</v>
      </c>
    </row>
    <row r="292" spans="1:7" ht="10.5" thickBot="1" x14ac:dyDescent="0.25">
      <c r="A292" s="6">
        <f t="shared" si="9"/>
        <v>1978</v>
      </c>
      <c r="B292" s="3" t="s">
        <v>6</v>
      </c>
      <c r="C292" s="3" t="str">
        <f t="shared" si="8"/>
        <v>Agosto 1978</v>
      </c>
      <c r="D292" s="20">
        <v>0.52813713963502196</v>
      </c>
      <c r="E292" s="7">
        <v>1.4E-3</v>
      </c>
      <c r="F292" s="7">
        <v>0.12659999999999999</v>
      </c>
      <c r="G292" s="17">
        <v>0.1321</v>
      </c>
    </row>
    <row r="293" spans="1:7" ht="10.5" thickBot="1" x14ac:dyDescent="0.25">
      <c r="A293" s="6">
        <f t="shared" si="9"/>
        <v>1978</v>
      </c>
      <c r="B293" s="3" t="s">
        <v>7</v>
      </c>
      <c r="C293" s="3" t="str">
        <f t="shared" si="8"/>
        <v>Septiembre 1978</v>
      </c>
      <c r="D293" s="20">
        <v>0.53033932517189697</v>
      </c>
      <c r="E293" s="7">
        <v>4.1999999999999997E-3</v>
      </c>
      <c r="F293" s="7">
        <v>0.1313</v>
      </c>
      <c r="G293" s="17">
        <v>0.1353</v>
      </c>
    </row>
    <row r="294" spans="1:7" ht="10.5" thickBot="1" x14ac:dyDescent="0.25">
      <c r="A294" s="6">
        <f t="shared" si="9"/>
        <v>1978</v>
      </c>
      <c r="B294" s="3" t="s">
        <v>8</v>
      </c>
      <c r="C294" s="3" t="str">
        <f t="shared" si="8"/>
        <v>Octubre 1978</v>
      </c>
      <c r="D294" s="20">
        <v>0.54130907093973202</v>
      </c>
      <c r="E294" s="7">
        <v>2.07E-2</v>
      </c>
      <c r="F294" s="7">
        <v>0.1547</v>
      </c>
      <c r="G294" s="17">
        <v>0.16159999999999999</v>
      </c>
    </row>
    <row r="295" spans="1:7" ht="10.5" thickBot="1" x14ac:dyDescent="0.25">
      <c r="A295" s="6">
        <f t="shared" si="9"/>
        <v>1978</v>
      </c>
      <c r="B295" s="3" t="s">
        <v>9</v>
      </c>
      <c r="C295" s="3" t="str">
        <f t="shared" si="8"/>
        <v>Noviembre 1978</v>
      </c>
      <c r="D295" s="20">
        <v>0.54889561756423</v>
      </c>
      <c r="E295" s="7">
        <v>1.4E-2</v>
      </c>
      <c r="F295" s="7">
        <v>0.1709</v>
      </c>
      <c r="G295" s="17">
        <v>0.1762</v>
      </c>
    </row>
    <row r="296" spans="1:7" ht="10.5" thickBot="1" x14ac:dyDescent="0.25">
      <c r="A296" s="8">
        <f t="shared" si="9"/>
        <v>1978</v>
      </c>
      <c r="B296" s="3" t="s">
        <v>10</v>
      </c>
      <c r="C296" s="3" t="str">
        <f t="shared" si="8"/>
        <v>Diciembre 1978</v>
      </c>
      <c r="D296" s="20">
        <v>0.55516643685528599</v>
      </c>
      <c r="E296" s="7">
        <v>1.14E-2</v>
      </c>
      <c r="F296" s="7">
        <v>0.1842</v>
      </c>
      <c r="G296" s="17">
        <v>0.1842</v>
      </c>
    </row>
    <row r="297" spans="1:7" ht="10.5" thickBot="1" x14ac:dyDescent="0.25">
      <c r="A297" s="9">
        <f t="shared" si="9"/>
        <v>1979</v>
      </c>
      <c r="B297" s="10" t="s">
        <v>11</v>
      </c>
      <c r="C297" s="10" t="str">
        <f t="shared" si="8"/>
        <v>Enero 1979</v>
      </c>
      <c r="D297" s="19">
        <v>0.57348610772717501</v>
      </c>
      <c r="E297" s="11">
        <v>3.3000000000000002E-2</v>
      </c>
      <c r="F297" s="11">
        <v>3.3000000000000002E-2</v>
      </c>
      <c r="G297" s="12">
        <v>0.2104</v>
      </c>
    </row>
    <row r="298" spans="1:7" ht="10.5" thickBot="1" x14ac:dyDescent="0.25">
      <c r="A298" s="13">
        <f t="shared" si="9"/>
        <v>1979</v>
      </c>
      <c r="B298" s="10" t="s">
        <v>12</v>
      </c>
      <c r="C298" s="10" t="str">
        <f t="shared" si="8"/>
        <v>Febrero 1979</v>
      </c>
      <c r="D298" s="19">
        <v>0.58403496034802704</v>
      </c>
      <c r="E298" s="11">
        <v>1.84E-2</v>
      </c>
      <c r="F298" s="11">
        <v>5.1999999999999998E-2</v>
      </c>
      <c r="G298" s="12">
        <v>0.21490000000000001</v>
      </c>
    </row>
    <row r="299" spans="1:7" ht="10.5" thickBot="1" x14ac:dyDescent="0.25">
      <c r="A299" s="13">
        <f t="shared" si="9"/>
        <v>1979</v>
      </c>
      <c r="B299" s="10" t="s">
        <v>13</v>
      </c>
      <c r="C299" s="10" t="str">
        <f t="shared" si="8"/>
        <v>Marzo 1979</v>
      </c>
      <c r="D299" s="19">
        <v>0.60790720996661596</v>
      </c>
      <c r="E299" s="11">
        <v>4.0899999999999999E-2</v>
      </c>
      <c r="F299" s="11">
        <v>9.5000000000000001E-2</v>
      </c>
      <c r="G299" s="12">
        <v>0.2253</v>
      </c>
    </row>
    <row r="300" spans="1:7" ht="10.5" thickBot="1" x14ac:dyDescent="0.25">
      <c r="A300" s="13">
        <f t="shared" si="9"/>
        <v>1979</v>
      </c>
      <c r="B300" s="10" t="s">
        <v>14</v>
      </c>
      <c r="C300" s="10" t="str">
        <f t="shared" si="8"/>
        <v>Abril 1979</v>
      </c>
      <c r="D300" s="19">
        <v>0.61901027346425896</v>
      </c>
      <c r="E300" s="11">
        <v>1.83E-2</v>
      </c>
      <c r="F300" s="11">
        <v>0.115</v>
      </c>
      <c r="G300" s="12">
        <v>0.22789999999999999</v>
      </c>
    </row>
    <row r="301" spans="1:7" ht="10.5" thickBot="1" x14ac:dyDescent="0.25">
      <c r="A301" s="13">
        <f t="shared" si="9"/>
        <v>1979</v>
      </c>
      <c r="B301" s="10" t="s">
        <v>15</v>
      </c>
      <c r="C301" s="10" t="str">
        <f t="shared" si="8"/>
        <v>Mayo 1979</v>
      </c>
      <c r="D301" s="19">
        <v>0.632334368460582</v>
      </c>
      <c r="E301" s="11">
        <v>2.1499999999999998E-2</v>
      </c>
      <c r="F301" s="11">
        <v>0.13900000000000001</v>
      </c>
      <c r="G301" s="12">
        <v>0.2261</v>
      </c>
    </row>
    <row r="302" spans="1:7" ht="10.5" thickBot="1" x14ac:dyDescent="0.25">
      <c r="A302" s="13">
        <f t="shared" si="9"/>
        <v>1979</v>
      </c>
      <c r="B302" s="10" t="s">
        <v>16</v>
      </c>
      <c r="C302" s="10" t="str">
        <f t="shared" si="8"/>
        <v>Junio 1979</v>
      </c>
      <c r="D302" s="19">
        <v>0.64288252308284799</v>
      </c>
      <c r="E302" s="11">
        <v>1.67E-2</v>
      </c>
      <c r="F302" s="11">
        <v>0.158</v>
      </c>
      <c r="G302" s="12">
        <v>0.2157</v>
      </c>
    </row>
    <row r="303" spans="1:7" ht="10.5" thickBot="1" x14ac:dyDescent="0.25">
      <c r="A303" s="13">
        <f t="shared" si="9"/>
        <v>1979</v>
      </c>
      <c r="B303" s="10" t="s">
        <v>5</v>
      </c>
      <c r="C303" s="10" t="str">
        <f t="shared" si="8"/>
        <v>Julio 1979</v>
      </c>
      <c r="D303" s="19">
        <v>0.65120964620643396</v>
      </c>
      <c r="E303" s="11">
        <v>1.29E-2</v>
      </c>
      <c r="F303" s="11">
        <v>0.17299999999999999</v>
      </c>
      <c r="G303" s="14">
        <v>0.23469999999999999</v>
      </c>
    </row>
    <row r="304" spans="1:7" ht="10.5" thickBot="1" x14ac:dyDescent="0.25">
      <c r="A304" s="13">
        <f t="shared" si="9"/>
        <v>1979</v>
      </c>
      <c r="B304" s="10" t="s">
        <v>6</v>
      </c>
      <c r="C304" s="10" t="str">
        <f t="shared" si="8"/>
        <v>Agosto 1979</v>
      </c>
      <c r="D304" s="19">
        <v>0.66286831657804002</v>
      </c>
      <c r="E304" s="11">
        <v>1.7899999999999999E-2</v>
      </c>
      <c r="F304" s="11">
        <v>0.19400000000000001</v>
      </c>
      <c r="G304" s="14">
        <v>0.25509999999999999</v>
      </c>
    </row>
    <row r="305" spans="1:7" ht="10.5" thickBot="1" x14ac:dyDescent="0.25">
      <c r="A305" s="13">
        <f t="shared" si="9"/>
        <v>1979</v>
      </c>
      <c r="B305" s="10" t="s">
        <v>7</v>
      </c>
      <c r="C305" s="10" t="str">
        <f t="shared" si="8"/>
        <v>Septiembre 1979</v>
      </c>
      <c r="D305" s="19">
        <v>0.67730222932511797</v>
      </c>
      <c r="E305" s="11">
        <v>2.18E-2</v>
      </c>
      <c r="F305" s="11">
        <v>0.22</v>
      </c>
      <c r="G305" s="14">
        <v>0.27710000000000001</v>
      </c>
    </row>
    <row r="306" spans="1:7" ht="10.5" thickBot="1" x14ac:dyDescent="0.25">
      <c r="A306" s="13">
        <f t="shared" si="9"/>
        <v>1979</v>
      </c>
      <c r="B306" s="10" t="s">
        <v>8</v>
      </c>
      <c r="C306" s="10" t="str">
        <f t="shared" si="8"/>
        <v>Octubre 1979</v>
      </c>
      <c r="D306" s="19">
        <v>0.68674056619662904</v>
      </c>
      <c r="E306" s="11">
        <v>1.3899999999999999E-2</v>
      </c>
      <c r="F306" s="11">
        <v>0.23699999999999999</v>
      </c>
      <c r="G306" s="14">
        <v>0.26869999999999999</v>
      </c>
    </row>
    <row r="307" spans="1:7" ht="10.5" thickBot="1" x14ac:dyDescent="0.25">
      <c r="A307" s="13">
        <f t="shared" si="9"/>
        <v>1979</v>
      </c>
      <c r="B307" s="10" t="s">
        <v>9</v>
      </c>
      <c r="C307" s="10" t="str">
        <f t="shared" si="8"/>
        <v>Noviembre 1979</v>
      </c>
      <c r="D307" s="19">
        <v>0.70339551044238702</v>
      </c>
      <c r="E307" s="11">
        <v>2.4199999999999999E-2</v>
      </c>
      <c r="F307" s="11">
        <v>0.26700000000000002</v>
      </c>
      <c r="G307" s="14">
        <v>0.28149999999999997</v>
      </c>
    </row>
    <row r="308" spans="1:7" ht="10.5" thickBot="1" x14ac:dyDescent="0.25">
      <c r="A308" s="15">
        <f t="shared" si="9"/>
        <v>1979</v>
      </c>
      <c r="B308" s="10" t="s">
        <v>10</v>
      </c>
      <c r="C308" s="10" t="str">
        <f t="shared" si="8"/>
        <v>Diciembre 1979</v>
      </c>
      <c r="D308" s="19">
        <v>0.71505348281540704</v>
      </c>
      <c r="E308" s="11">
        <v>1.66E-2</v>
      </c>
      <c r="F308" s="11">
        <v>0.28799999999999998</v>
      </c>
      <c r="G308" s="14">
        <v>0.28799999999999998</v>
      </c>
    </row>
    <row r="309" spans="1:7" ht="10.5" thickBot="1" x14ac:dyDescent="0.25">
      <c r="A309" s="16">
        <f t="shared" si="9"/>
        <v>1980</v>
      </c>
      <c r="B309" s="3" t="s">
        <v>11</v>
      </c>
      <c r="C309" s="3" t="str">
        <f t="shared" si="8"/>
        <v>Enero 1980</v>
      </c>
      <c r="D309" s="20">
        <v>0.73170912505975005</v>
      </c>
      <c r="E309" s="7">
        <v>2.3300000000000001E-2</v>
      </c>
      <c r="F309" s="7">
        <v>2.3300000000000001E-2</v>
      </c>
      <c r="G309" s="17">
        <v>0.27589999999999998</v>
      </c>
    </row>
    <row r="310" spans="1:7" ht="10.5" thickBot="1" x14ac:dyDescent="0.25">
      <c r="A310" s="6">
        <f t="shared" si="9"/>
        <v>1980</v>
      </c>
      <c r="B310" s="3" t="s">
        <v>12</v>
      </c>
      <c r="C310" s="3" t="str">
        <f t="shared" si="8"/>
        <v>Febrero 1980</v>
      </c>
      <c r="D310" s="20">
        <v>0.73948133930795901</v>
      </c>
      <c r="E310" s="7">
        <v>1.06E-2</v>
      </c>
      <c r="F310" s="7">
        <v>3.4200000000000001E-2</v>
      </c>
      <c r="G310" s="17">
        <v>0.26619999999999999</v>
      </c>
    </row>
    <row r="311" spans="1:7" ht="10.5" thickBot="1" x14ac:dyDescent="0.25">
      <c r="A311" s="6">
        <f t="shared" si="9"/>
        <v>1980</v>
      </c>
      <c r="B311" s="3" t="s">
        <v>13</v>
      </c>
      <c r="C311" s="3" t="str">
        <f t="shared" si="8"/>
        <v>Marzo 1980</v>
      </c>
      <c r="D311" s="20">
        <v>0.75502576780437702</v>
      </c>
      <c r="E311" s="7">
        <v>2.1000000000000001E-2</v>
      </c>
      <c r="F311" s="7">
        <v>5.5899999999999998E-2</v>
      </c>
      <c r="G311" s="17">
        <v>0.24199999999999999</v>
      </c>
    </row>
    <row r="312" spans="1:7" ht="10.5" thickBot="1" x14ac:dyDescent="0.25">
      <c r="A312" s="6">
        <f t="shared" si="9"/>
        <v>1980</v>
      </c>
      <c r="B312" s="3" t="s">
        <v>14</v>
      </c>
      <c r="C312" s="3" t="str">
        <f t="shared" si="8"/>
        <v>Abril 1980</v>
      </c>
      <c r="D312" s="20">
        <v>0.783894989295703</v>
      </c>
      <c r="E312" s="7">
        <v>3.8199999999999998E-2</v>
      </c>
      <c r="F312" s="7">
        <v>9.6299999999999997E-2</v>
      </c>
      <c r="G312" s="17">
        <v>0.26640000000000003</v>
      </c>
    </row>
    <row r="313" spans="1:7" ht="10.5" thickBot="1" x14ac:dyDescent="0.25">
      <c r="A313" s="6">
        <f t="shared" si="9"/>
        <v>1980</v>
      </c>
      <c r="B313" s="3" t="s">
        <v>15</v>
      </c>
      <c r="C313" s="3" t="str">
        <f t="shared" si="8"/>
        <v>Mayo 1980</v>
      </c>
      <c r="D313" s="20">
        <v>0.81109739016514104</v>
      </c>
      <c r="E313" s="7">
        <v>3.4700000000000002E-2</v>
      </c>
      <c r="F313" s="7">
        <v>0.1343</v>
      </c>
      <c r="G313" s="17">
        <v>0.28270000000000001</v>
      </c>
    </row>
    <row r="314" spans="1:7" ht="10.5" thickBot="1" x14ac:dyDescent="0.25">
      <c r="A314" s="6">
        <f t="shared" si="9"/>
        <v>1980</v>
      </c>
      <c r="B314" s="3" t="s">
        <v>16</v>
      </c>
      <c r="C314" s="3" t="str">
        <f t="shared" si="8"/>
        <v>Junio 1980</v>
      </c>
      <c r="D314" s="20">
        <v>0.82109063591203002</v>
      </c>
      <c r="E314" s="7">
        <v>1.23E-2</v>
      </c>
      <c r="F314" s="7">
        <v>0.14829999999999999</v>
      </c>
      <c r="G314" s="17">
        <v>0.2772</v>
      </c>
    </row>
    <row r="315" spans="1:7" ht="10.5" thickBot="1" x14ac:dyDescent="0.25">
      <c r="A315" s="6">
        <f t="shared" si="9"/>
        <v>1980</v>
      </c>
      <c r="B315" s="3" t="s">
        <v>5</v>
      </c>
      <c r="C315" s="3" t="str">
        <f t="shared" si="8"/>
        <v>Julio 1980</v>
      </c>
      <c r="D315" s="20">
        <v>0.82941845703420103</v>
      </c>
      <c r="E315" s="7">
        <v>1.01E-2</v>
      </c>
      <c r="F315" s="7">
        <v>0.15989999999999999</v>
      </c>
      <c r="G315" s="17">
        <v>0.2737</v>
      </c>
    </row>
    <row r="316" spans="1:7" ht="10.5" thickBot="1" x14ac:dyDescent="0.25">
      <c r="A316" s="6">
        <f t="shared" si="9"/>
        <v>1980</v>
      </c>
      <c r="B316" s="3" t="s">
        <v>6</v>
      </c>
      <c r="C316" s="3" t="str">
        <f t="shared" si="8"/>
        <v>Agosto 1980</v>
      </c>
      <c r="D316" s="20">
        <v>0.83608015553307002</v>
      </c>
      <c r="E316" s="7">
        <v>8.0000000000000002E-3</v>
      </c>
      <c r="F316" s="7">
        <v>0.16919999999999999</v>
      </c>
      <c r="G316" s="17">
        <v>0.26129999999999998</v>
      </c>
    </row>
    <row r="317" spans="1:7" ht="10.5" thickBot="1" x14ac:dyDescent="0.25">
      <c r="A317" s="6">
        <f t="shared" si="9"/>
        <v>1980</v>
      </c>
      <c r="B317" s="3" t="s">
        <v>7</v>
      </c>
      <c r="C317" s="3" t="str">
        <f t="shared" si="8"/>
        <v>Septiembre 1980</v>
      </c>
      <c r="D317" s="20">
        <v>0.84995915940477096</v>
      </c>
      <c r="E317" s="7">
        <v>1.66E-2</v>
      </c>
      <c r="F317" s="7">
        <v>0.18870000000000001</v>
      </c>
      <c r="G317" s="17">
        <v>0.25490000000000002</v>
      </c>
    </row>
    <row r="318" spans="1:7" ht="10.5" thickBot="1" x14ac:dyDescent="0.25">
      <c r="A318" s="6">
        <f t="shared" si="9"/>
        <v>1980</v>
      </c>
      <c r="B318" s="3" t="s">
        <v>8</v>
      </c>
      <c r="C318" s="3" t="str">
        <f t="shared" si="8"/>
        <v>Octubre 1980</v>
      </c>
      <c r="D318" s="20">
        <v>0.86883513514920796</v>
      </c>
      <c r="E318" s="7">
        <v>2.2200000000000001E-2</v>
      </c>
      <c r="F318" s="7">
        <v>0.21510000000000001</v>
      </c>
      <c r="G318" s="17">
        <v>0.26519999999999999</v>
      </c>
    </row>
    <row r="319" spans="1:7" ht="10.5" thickBot="1" x14ac:dyDescent="0.25">
      <c r="A319" s="6">
        <f t="shared" si="9"/>
        <v>1980</v>
      </c>
      <c r="B319" s="3" t="s">
        <v>9</v>
      </c>
      <c r="C319" s="3" t="str">
        <f t="shared" si="8"/>
        <v>Noviembre 1980</v>
      </c>
      <c r="D319" s="20">
        <v>0.88771041289506003</v>
      </c>
      <c r="E319" s="7">
        <v>2.1700000000000001E-2</v>
      </c>
      <c r="F319" s="7">
        <v>0.24149999999999999</v>
      </c>
      <c r="G319" s="17">
        <v>0.26200000000000001</v>
      </c>
    </row>
    <row r="320" spans="1:7" ht="10.5" thickBot="1" x14ac:dyDescent="0.25">
      <c r="A320" s="8">
        <f t="shared" si="9"/>
        <v>1980</v>
      </c>
      <c r="B320" s="3" t="s">
        <v>10</v>
      </c>
      <c r="C320" s="3" t="str">
        <f t="shared" si="8"/>
        <v>Diciembre 1980</v>
      </c>
      <c r="D320" s="20">
        <v>0.89992399214204299</v>
      </c>
      <c r="E320" s="7">
        <v>1.37E-2</v>
      </c>
      <c r="F320" s="7">
        <v>0.25850000000000001</v>
      </c>
      <c r="G320" s="17">
        <v>0.25850000000000001</v>
      </c>
    </row>
    <row r="321" spans="1:7" ht="10.5" thickBot="1" x14ac:dyDescent="0.25">
      <c r="A321" s="9">
        <f t="shared" si="9"/>
        <v>1981</v>
      </c>
      <c r="B321" s="10" t="s">
        <v>11</v>
      </c>
      <c r="C321" s="10" t="str">
        <f t="shared" si="8"/>
        <v>Enero 1981</v>
      </c>
      <c r="D321" s="19">
        <v>0.91952169842376397</v>
      </c>
      <c r="E321" s="11">
        <v>2.0899999999999998E-2</v>
      </c>
      <c r="F321" s="11">
        <v>2.0899999999999998E-2</v>
      </c>
      <c r="G321" s="12">
        <v>0.25669999999999998</v>
      </c>
    </row>
    <row r="322" spans="1:7" ht="10.5" thickBot="1" x14ac:dyDescent="0.25">
      <c r="A322" s="13">
        <f t="shared" si="9"/>
        <v>1981</v>
      </c>
      <c r="B322" s="10" t="s">
        <v>12</v>
      </c>
      <c r="C322" s="10" t="str">
        <f t="shared" si="8"/>
        <v>Febrero 1981</v>
      </c>
      <c r="D322" s="19">
        <v>0.94650213574305098</v>
      </c>
      <c r="E322" s="11">
        <v>2.93E-2</v>
      </c>
      <c r="F322" s="11">
        <v>5.0799999999999998E-2</v>
      </c>
      <c r="G322" s="12">
        <v>0.28000000000000003</v>
      </c>
    </row>
    <row r="323" spans="1:7" ht="10.5" thickBot="1" x14ac:dyDescent="0.25">
      <c r="A323" s="13">
        <f t="shared" si="9"/>
        <v>1981</v>
      </c>
      <c r="B323" s="10" t="s">
        <v>13</v>
      </c>
      <c r="C323" s="10" t="str">
        <f t="shared" si="8"/>
        <v>Marzo 1981</v>
      </c>
      <c r="D323" s="19">
        <v>0.97259541686032003</v>
      </c>
      <c r="E323" s="11">
        <v>2.75E-2</v>
      </c>
      <c r="F323" s="11">
        <v>7.9799999999999996E-2</v>
      </c>
      <c r="G323" s="12">
        <v>0.28820000000000001</v>
      </c>
    </row>
    <row r="324" spans="1:7" ht="10.5" thickBot="1" x14ac:dyDescent="0.25">
      <c r="A324" s="13">
        <f t="shared" si="9"/>
        <v>1981</v>
      </c>
      <c r="B324" s="10" t="s">
        <v>14</v>
      </c>
      <c r="C324" s="10" t="str">
        <f t="shared" ref="C324:C387" si="10">B324&amp;" "&amp;A324</f>
        <v>Abril 1981</v>
      </c>
      <c r="D324" s="19">
        <v>0.99591275760353204</v>
      </c>
      <c r="E324" s="11">
        <v>2.3800000000000002E-2</v>
      </c>
      <c r="F324" s="11">
        <v>0.1057</v>
      </c>
      <c r="G324" s="12">
        <v>0.27050000000000002</v>
      </c>
    </row>
    <row r="325" spans="1:7" ht="10.5" thickBot="1" x14ac:dyDescent="0.25">
      <c r="A325" s="13">
        <f t="shared" si="9"/>
        <v>1981</v>
      </c>
      <c r="B325" s="10" t="s">
        <v>15</v>
      </c>
      <c r="C325" s="10" t="str">
        <f t="shared" si="10"/>
        <v>Mayo 1981</v>
      </c>
      <c r="D325" s="19">
        <v>1.02211632249729</v>
      </c>
      <c r="E325" s="11">
        <v>2.63E-2</v>
      </c>
      <c r="F325" s="11">
        <v>0.1348</v>
      </c>
      <c r="G325" s="12">
        <v>0.26019999999999999</v>
      </c>
    </row>
    <row r="326" spans="1:7" ht="10.5" thickBot="1" x14ac:dyDescent="0.25">
      <c r="A326" s="13">
        <f t="shared" si="9"/>
        <v>1981</v>
      </c>
      <c r="B326" s="10" t="s">
        <v>16</v>
      </c>
      <c r="C326" s="10" t="str">
        <f t="shared" si="10"/>
        <v>Junio 1981</v>
      </c>
      <c r="D326" s="19">
        <v>1.0499301701275201</v>
      </c>
      <c r="E326" s="11">
        <v>2.7199999999999998E-2</v>
      </c>
      <c r="F326" s="11">
        <v>0.1658</v>
      </c>
      <c r="G326" s="12">
        <v>0.2787</v>
      </c>
    </row>
    <row r="327" spans="1:7" ht="10.5" thickBot="1" x14ac:dyDescent="0.25">
      <c r="A327" s="13">
        <f t="shared" si="9"/>
        <v>1981</v>
      </c>
      <c r="B327" s="10" t="s">
        <v>5</v>
      </c>
      <c r="C327" s="10" t="str">
        <f t="shared" si="10"/>
        <v>Julio 1981</v>
      </c>
      <c r="D327" s="19">
        <v>1.06936105474734</v>
      </c>
      <c r="E327" s="11">
        <v>1.8499999999999999E-2</v>
      </c>
      <c r="F327" s="11">
        <v>0.18729999999999999</v>
      </c>
      <c r="G327" s="14">
        <v>0.2893</v>
      </c>
    </row>
    <row r="328" spans="1:7" ht="10.5" thickBot="1" x14ac:dyDescent="0.25">
      <c r="A328" s="13">
        <f t="shared" si="9"/>
        <v>1981</v>
      </c>
      <c r="B328" s="10" t="s">
        <v>6</v>
      </c>
      <c r="C328" s="10" t="str">
        <f t="shared" si="10"/>
        <v>Agosto 1981</v>
      </c>
      <c r="D328" s="19">
        <v>1.08290711329381</v>
      </c>
      <c r="E328" s="11">
        <v>1.2699999999999999E-2</v>
      </c>
      <c r="F328" s="11">
        <v>0.2024</v>
      </c>
      <c r="G328" s="14">
        <v>0.29520000000000002</v>
      </c>
    </row>
    <row r="329" spans="1:7" ht="10.5" thickBot="1" x14ac:dyDescent="0.25">
      <c r="A329" s="13">
        <f t="shared" si="9"/>
        <v>1981</v>
      </c>
      <c r="B329" s="10" t="s">
        <v>7</v>
      </c>
      <c r="C329" s="10" t="str">
        <f t="shared" si="10"/>
        <v>Septiembre 1981</v>
      </c>
      <c r="D329" s="19">
        <v>1.0907344694302601</v>
      </c>
      <c r="E329" s="11">
        <v>7.1999999999999998E-3</v>
      </c>
      <c r="F329" s="11">
        <v>0.21110000000000001</v>
      </c>
      <c r="G329" s="14">
        <v>0.2833</v>
      </c>
    </row>
    <row r="330" spans="1:7" ht="10.5" thickBot="1" x14ac:dyDescent="0.25">
      <c r="A330" s="13">
        <f t="shared" si="9"/>
        <v>1981</v>
      </c>
      <c r="B330" s="10" t="s">
        <v>8</v>
      </c>
      <c r="C330" s="10" t="str">
        <f t="shared" si="10"/>
        <v>Octubre 1981</v>
      </c>
      <c r="D330" s="19">
        <v>1.10428052797674</v>
      </c>
      <c r="E330" s="11">
        <v>1.24E-2</v>
      </c>
      <c r="F330" s="11">
        <v>0.2261</v>
      </c>
      <c r="G330" s="14">
        <v>0.27100000000000002</v>
      </c>
    </row>
    <row r="331" spans="1:7" ht="10.5" thickBot="1" x14ac:dyDescent="0.25">
      <c r="A331" s="13">
        <f t="shared" si="9"/>
        <v>1981</v>
      </c>
      <c r="B331" s="10" t="s">
        <v>9</v>
      </c>
      <c r="C331" s="10" t="str">
        <f t="shared" si="10"/>
        <v>Noviembre 1981</v>
      </c>
      <c r="D331" s="19">
        <v>1.12165720275978</v>
      </c>
      <c r="E331" s="11">
        <v>1.5699999999999999E-2</v>
      </c>
      <c r="F331" s="11">
        <v>0.24540000000000001</v>
      </c>
      <c r="G331" s="14">
        <v>0.26350000000000001</v>
      </c>
    </row>
    <row r="332" spans="1:7" ht="10.5" thickBot="1" x14ac:dyDescent="0.25">
      <c r="A332" s="15">
        <f t="shared" si="9"/>
        <v>1981</v>
      </c>
      <c r="B332" s="10" t="s">
        <v>10</v>
      </c>
      <c r="C332" s="10" t="str">
        <f t="shared" si="10"/>
        <v>Diciembre 1981</v>
      </c>
      <c r="D332" s="19">
        <v>1.1380350415671401</v>
      </c>
      <c r="E332" s="11">
        <v>1.46E-2</v>
      </c>
      <c r="F332" s="11">
        <v>0.2636</v>
      </c>
      <c r="G332" s="14">
        <v>0.2636</v>
      </c>
    </row>
    <row r="333" spans="1:7" ht="10.5" thickBot="1" x14ac:dyDescent="0.25">
      <c r="A333" s="16">
        <f t="shared" si="9"/>
        <v>1982</v>
      </c>
      <c r="B333" s="3" t="s">
        <v>11</v>
      </c>
      <c r="C333" s="3" t="str">
        <f t="shared" si="10"/>
        <v>Enero 1982</v>
      </c>
      <c r="D333" s="20">
        <v>1.1589093872615199</v>
      </c>
      <c r="E333" s="7">
        <v>1.83E-2</v>
      </c>
      <c r="F333" s="7">
        <v>1.83E-2</v>
      </c>
      <c r="G333" s="17">
        <v>0.26029999999999998</v>
      </c>
    </row>
    <row r="334" spans="1:7" ht="10.5" thickBot="1" x14ac:dyDescent="0.25">
      <c r="A334" s="6">
        <f t="shared" si="9"/>
        <v>1982</v>
      </c>
      <c r="B334" s="3" t="s">
        <v>12</v>
      </c>
      <c r="C334" s="3" t="str">
        <f t="shared" si="10"/>
        <v>Febrero 1982</v>
      </c>
      <c r="D334" s="20">
        <v>1.18411341818102</v>
      </c>
      <c r="E334" s="7">
        <v>2.1700000000000001E-2</v>
      </c>
      <c r="F334" s="7">
        <v>4.0500000000000001E-2</v>
      </c>
      <c r="G334" s="17">
        <v>0.251</v>
      </c>
    </row>
    <row r="335" spans="1:7" ht="10.5" thickBot="1" x14ac:dyDescent="0.25">
      <c r="A335" s="6">
        <f t="shared" si="9"/>
        <v>1982</v>
      </c>
      <c r="B335" s="3" t="s">
        <v>13</v>
      </c>
      <c r="C335" s="3" t="str">
        <f t="shared" si="10"/>
        <v>Marzo 1982</v>
      </c>
      <c r="D335" s="20">
        <v>1.2113723569358701</v>
      </c>
      <c r="E335" s="7">
        <v>2.3E-2</v>
      </c>
      <c r="F335" s="7">
        <v>6.4399999999999999E-2</v>
      </c>
      <c r="G335" s="17">
        <v>0.2455</v>
      </c>
    </row>
    <row r="336" spans="1:7" ht="10.5" thickBot="1" x14ac:dyDescent="0.25">
      <c r="A336" s="6">
        <f t="shared" si="9"/>
        <v>1982</v>
      </c>
      <c r="B336" s="3" t="s">
        <v>14</v>
      </c>
      <c r="C336" s="3" t="str">
        <f t="shared" si="10"/>
        <v>Abril 1982</v>
      </c>
      <c r="D336" s="20">
        <v>1.2426280355906101</v>
      </c>
      <c r="E336" s="7">
        <v>2.58E-2</v>
      </c>
      <c r="F336" s="7">
        <v>9.1899999999999996E-2</v>
      </c>
      <c r="G336" s="17">
        <v>0.2477</v>
      </c>
    </row>
    <row r="337" spans="1:7" ht="10.5" thickBot="1" x14ac:dyDescent="0.25">
      <c r="A337" s="6">
        <f t="shared" si="9"/>
        <v>1982</v>
      </c>
      <c r="B337" s="3" t="s">
        <v>15</v>
      </c>
      <c r="C337" s="3" t="str">
        <f t="shared" si="10"/>
        <v>Mayo 1982</v>
      </c>
      <c r="D337" s="20">
        <v>1.275438157095</v>
      </c>
      <c r="E337" s="7">
        <v>2.64E-2</v>
      </c>
      <c r="F337" s="7">
        <v>0.1207</v>
      </c>
      <c r="G337" s="17">
        <v>0.24779999999999999</v>
      </c>
    </row>
    <row r="338" spans="1:7" ht="10.5" thickBot="1" x14ac:dyDescent="0.25">
      <c r="A338" s="6">
        <f t="shared" si="9"/>
        <v>1982</v>
      </c>
      <c r="B338" s="3" t="s">
        <v>16</v>
      </c>
      <c r="C338" s="3" t="str">
        <f t="shared" si="10"/>
        <v>Junio 1982</v>
      </c>
      <c r="D338" s="20">
        <v>1.3039185933742601</v>
      </c>
      <c r="E338" s="7">
        <v>2.23E-2</v>
      </c>
      <c r="F338" s="7">
        <v>0.14580000000000001</v>
      </c>
      <c r="G338" s="17">
        <v>0.2419</v>
      </c>
    </row>
    <row r="339" spans="1:7" ht="10.5" thickBot="1" x14ac:dyDescent="0.25">
      <c r="A339" s="6">
        <f t="shared" si="9"/>
        <v>1982</v>
      </c>
      <c r="B339" s="3" t="s">
        <v>5</v>
      </c>
      <c r="C339" s="3" t="str">
        <f t="shared" si="10"/>
        <v>Julio 1982</v>
      </c>
      <c r="D339" s="20">
        <v>1.3210733046071499</v>
      </c>
      <c r="E339" s="7">
        <v>1.32E-2</v>
      </c>
      <c r="F339" s="7">
        <v>0.1608</v>
      </c>
      <c r="G339" s="17">
        <v>0.2354</v>
      </c>
    </row>
    <row r="340" spans="1:7" ht="10.5" thickBot="1" x14ac:dyDescent="0.25">
      <c r="A340" s="6">
        <f t="shared" si="9"/>
        <v>1982</v>
      </c>
      <c r="B340" s="3" t="s">
        <v>6</v>
      </c>
      <c r="C340" s="3" t="str">
        <f t="shared" si="10"/>
        <v>Agosto 1982</v>
      </c>
      <c r="D340" s="20">
        <v>1.3369513764273799</v>
      </c>
      <c r="E340" s="7">
        <v>1.2E-2</v>
      </c>
      <c r="F340" s="7">
        <v>0.17480000000000001</v>
      </c>
      <c r="G340" s="17">
        <v>0.2346</v>
      </c>
    </row>
    <row r="341" spans="1:7" ht="10.5" thickBot="1" x14ac:dyDescent="0.25">
      <c r="A341" s="6">
        <f t="shared" si="9"/>
        <v>1982</v>
      </c>
      <c r="B341" s="3" t="s">
        <v>7</v>
      </c>
      <c r="C341" s="3" t="str">
        <f t="shared" si="10"/>
        <v>Septiembre 1982</v>
      </c>
      <c r="D341" s="20">
        <v>1.3582138093352401</v>
      </c>
      <c r="E341" s="7">
        <v>1.5900000000000001E-2</v>
      </c>
      <c r="F341" s="7">
        <v>0.19350000000000001</v>
      </c>
      <c r="G341" s="17">
        <v>0.2452</v>
      </c>
    </row>
    <row r="342" spans="1:7" ht="10.5" thickBot="1" x14ac:dyDescent="0.25">
      <c r="A342" s="6">
        <f t="shared" ref="A342:A405" si="11">A330+1</f>
        <v>1982</v>
      </c>
      <c r="B342" s="3" t="s">
        <v>8</v>
      </c>
      <c r="C342" s="3" t="str">
        <f t="shared" si="10"/>
        <v>Octubre 1982</v>
      </c>
      <c r="D342" s="20">
        <v>1.38325171659141</v>
      </c>
      <c r="E342" s="7">
        <v>1.84E-2</v>
      </c>
      <c r="F342" s="7">
        <v>0.2155</v>
      </c>
      <c r="G342" s="17">
        <v>0.25259999999999999</v>
      </c>
    </row>
    <row r="343" spans="1:7" ht="10.5" thickBot="1" x14ac:dyDescent="0.25">
      <c r="A343" s="6">
        <f t="shared" si="11"/>
        <v>1982</v>
      </c>
      <c r="B343" s="3" t="s">
        <v>9</v>
      </c>
      <c r="C343" s="3" t="str">
        <f t="shared" si="10"/>
        <v>Noviembre 1982</v>
      </c>
      <c r="D343" s="20">
        <v>1.3996846972870201</v>
      </c>
      <c r="E343" s="7">
        <v>1.1900000000000001E-2</v>
      </c>
      <c r="F343" s="7">
        <v>0.22989999999999999</v>
      </c>
      <c r="G343" s="17">
        <v>0.24790000000000001</v>
      </c>
    </row>
    <row r="344" spans="1:7" ht="10.5" thickBot="1" x14ac:dyDescent="0.25">
      <c r="A344" s="8">
        <f t="shared" si="11"/>
        <v>1982</v>
      </c>
      <c r="B344" s="3" t="s">
        <v>10</v>
      </c>
      <c r="C344" s="3" t="str">
        <f t="shared" si="10"/>
        <v>Diciembre 1982</v>
      </c>
      <c r="D344" s="20">
        <v>1.4115094913219399</v>
      </c>
      <c r="E344" s="7">
        <v>8.3999999999999995E-3</v>
      </c>
      <c r="F344" s="7">
        <v>0.24030000000000001</v>
      </c>
      <c r="G344" s="17">
        <v>0.24030000000000001</v>
      </c>
    </row>
    <row r="345" spans="1:7" ht="10.5" thickBot="1" x14ac:dyDescent="0.25">
      <c r="A345" s="9">
        <f t="shared" si="11"/>
        <v>1983</v>
      </c>
      <c r="B345" s="10" t="s">
        <v>11</v>
      </c>
      <c r="C345" s="10" t="str">
        <f t="shared" si="10"/>
        <v>Enero 1983</v>
      </c>
      <c r="D345" s="19">
        <v>1.4263328872796599</v>
      </c>
      <c r="E345" s="11">
        <v>1.0500000000000001E-2</v>
      </c>
      <c r="F345" s="11">
        <v>1.0500000000000001E-2</v>
      </c>
      <c r="G345" s="12">
        <v>0.23080000000000001</v>
      </c>
    </row>
    <row r="346" spans="1:7" ht="10.5" thickBot="1" x14ac:dyDescent="0.25">
      <c r="A346" s="13">
        <f t="shared" si="11"/>
        <v>1983</v>
      </c>
      <c r="B346" s="10" t="s">
        <v>12</v>
      </c>
      <c r="C346" s="10" t="str">
        <f t="shared" si="10"/>
        <v>Febrero 1983</v>
      </c>
      <c r="D346" s="19">
        <v>1.44320979507557</v>
      </c>
      <c r="E346" s="11">
        <v>1.18E-2</v>
      </c>
      <c r="F346" s="11">
        <v>2.2499999999999999E-2</v>
      </c>
      <c r="G346" s="12">
        <v>0.21879999999999999</v>
      </c>
    </row>
    <row r="347" spans="1:7" ht="10.5" thickBot="1" x14ac:dyDescent="0.25">
      <c r="A347" s="13">
        <f t="shared" si="11"/>
        <v>1983</v>
      </c>
      <c r="B347" s="10" t="s">
        <v>13</v>
      </c>
      <c r="C347" s="10" t="str">
        <f t="shared" si="10"/>
        <v>Marzo 1983</v>
      </c>
      <c r="D347" s="19">
        <v>1.4760199165799499</v>
      </c>
      <c r="E347" s="11">
        <v>2.2700000000000001E-2</v>
      </c>
      <c r="F347" s="11">
        <v>4.5699999999999998E-2</v>
      </c>
      <c r="G347" s="12">
        <v>0.2185</v>
      </c>
    </row>
    <row r="348" spans="1:7" ht="10.5" thickBot="1" x14ac:dyDescent="0.25">
      <c r="A348" s="13">
        <f t="shared" si="11"/>
        <v>1983</v>
      </c>
      <c r="B348" s="10" t="s">
        <v>14</v>
      </c>
      <c r="C348" s="10" t="str">
        <f t="shared" si="10"/>
        <v>Abril 1983</v>
      </c>
      <c r="D348" s="19">
        <v>1.5212104389932299</v>
      </c>
      <c r="E348" s="11">
        <v>3.0599999999999999E-2</v>
      </c>
      <c r="F348" s="11">
        <v>7.7700000000000005E-2</v>
      </c>
      <c r="G348" s="12">
        <v>0.22420000000000001</v>
      </c>
    </row>
    <row r="349" spans="1:7" ht="10.5" thickBot="1" x14ac:dyDescent="0.25">
      <c r="A349" s="13">
        <f t="shared" si="11"/>
        <v>1983</v>
      </c>
      <c r="B349" s="10" t="s">
        <v>15</v>
      </c>
      <c r="C349" s="10" t="str">
        <f t="shared" si="10"/>
        <v>Mayo 1983</v>
      </c>
      <c r="D349" s="19">
        <v>1.5595724412457199</v>
      </c>
      <c r="E349" s="11">
        <v>2.52E-2</v>
      </c>
      <c r="F349" s="11">
        <v>0.10489999999999999</v>
      </c>
      <c r="G349" s="12">
        <v>0.2228</v>
      </c>
    </row>
    <row r="350" spans="1:7" ht="10.5" thickBot="1" x14ac:dyDescent="0.25">
      <c r="A350" s="13">
        <f t="shared" si="11"/>
        <v>1983</v>
      </c>
      <c r="B350" s="10" t="s">
        <v>16</v>
      </c>
      <c r="C350" s="10" t="str">
        <f t="shared" si="10"/>
        <v>Junio 1983</v>
      </c>
      <c r="D350" s="19">
        <v>1.5707313446302</v>
      </c>
      <c r="E350" s="11">
        <v>7.1999999999999998E-3</v>
      </c>
      <c r="F350" s="11">
        <v>0.1128</v>
      </c>
      <c r="G350" s="12">
        <v>0.2046</v>
      </c>
    </row>
    <row r="351" spans="1:7" ht="10.5" thickBot="1" x14ac:dyDescent="0.25">
      <c r="A351" s="13">
        <f t="shared" si="11"/>
        <v>1983</v>
      </c>
      <c r="B351" s="10" t="s">
        <v>5</v>
      </c>
      <c r="C351" s="10" t="str">
        <f t="shared" si="10"/>
        <v>Julio 1983</v>
      </c>
      <c r="D351" s="19">
        <v>1.58294492387718</v>
      </c>
      <c r="E351" s="11">
        <v>7.9000000000000008E-3</v>
      </c>
      <c r="F351" s="11">
        <v>0.1215</v>
      </c>
      <c r="G351" s="14">
        <v>0.19819999999999999</v>
      </c>
    </row>
    <row r="352" spans="1:7" ht="10.5" thickBot="1" x14ac:dyDescent="0.25">
      <c r="A352" s="13">
        <f t="shared" si="11"/>
        <v>1983</v>
      </c>
      <c r="B352" s="10" t="s">
        <v>6</v>
      </c>
      <c r="C352" s="10" t="str">
        <f t="shared" si="10"/>
        <v>Agosto 1983</v>
      </c>
      <c r="D352" s="19">
        <v>1.5818344081278399</v>
      </c>
      <c r="E352" s="11">
        <v>-8.0000000000000004E-4</v>
      </c>
      <c r="F352" s="11">
        <v>0.1207</v>
      </c>
      <c r="G352" s="14">
        <v>0.1832</v>
      </c>
    </row>
    <row r="353" spans="1:7" ht="10.5" thickBot="1" x14ac:dyDescent="0.25">
      <c r="A353" s="13">
        <f t="shared" si="11"/>
        <v>1983</v>
      </c>
      <c r="B353" s="10" t="s">
        <v>7</v>
      </c>
      <c r="C353" s="10" t="str">
        <f t="shared" si="10"/>
        <v>Septiembre 1983</v>
      </c>
      <c r="D353" s="19">
        <v>1.5948813976857701</v>
      </c>
      <c r="E353" s="11">
        <v>8.2000000000000007E-3</v>
      </c>
      <c r="F353" s="11">
        <v>0.12089999999999999</v>
      </c>
      <c r="G353" s="14">
        <v>0.17419999999999999</v>
      </c>
    </row>
    <row r="354" spans="1:7" ht="10.5" thickBot="1" x14ac:dyDescent="0.25">
      <c r="A354" s="13">
        <f t="shared" si="11"/>
        <v>1983</v>
      </c>
      <c r="B354" s="10" t="s">
        <v>8</v>
      </c>
      <c r="C354" s="10" t="str">
        <f t="shared" si="10"/>
        <v>Octubre 1983</v>
      </c>
      <c r="D354" s="19">
        <v>1.6211959443546</v>
      </c>
      <c r="E354" s="11">
        <v>1.6500000000000001E-2</v>
      </c>
      <c r="F354" s="11">
        <v>0.14860000000000001</v>
      </c>
      <c r="G354" s="14">
        <v>0.17199999999999999</v>
      </c>
    </row>
    <row r="355" spans="1:7" ht="10.5" thickBot="1" x14ac:dyDescent="0.25">
      <c r="A355" s="13">
        <f t="shared" si="11"/>
        <v>1983</v>
      </c>
      <c r="B355" s="10" t="s">
        <v>9</v>
      </c>
      <c r="C355" s="10" t="str">
        <f t="shared" si="10"/>
        <v>Noviembre 1983</v>
      </c>
      <c r="D355" s="19">
        <v>1.6382396738124201</v>
      </c>
      <c r="E355" s="11">
        <v>1.0500000000000001E-2</v>
      </c>
      <c r="F355" s="11">
        <v>0.16059999999999999</v>
      </c>
      <c r="G355" s="14">
        <v>0.1704</v>
      </c>
    </row>
    <row r="356" spans="1:7" ht="10.5" thickBot="1" x14ac:dyDescent="0.25">
      <c r="A356" s="15">
        <f t="shared" si="11"/>
        <v>1983</v>
      </c>
      <c r="B356" s="10" t="s">
        <v>10</v>
      </c>
      <c r="C356" s="10" t="str">
        <f t="shared" si="10"/>
        <v>Diciembre 1983</v>
      </c>
      <c r="D356" s="19">
        <v>1.6463448333858499</v>
      </c>
      <c r="E356" s="11">
        <v>4.8999999999999998E-3</v>
      </c>
      <c r="F356" s="11">
        <v>0.16639999999999999</v>
      </c>
      <c r="G356" s="14">
        <v>0.16639999999999999</v>
      </c>
    </row>
    <row r="357" spans="1:7" ht="10.5" thickBot="1" x14ac:dyDescent="0.25">
      <c r="A357" s="16">
        <f t="shared" si="11"/>
        <v>1984</v>
      </c>
      <c r="B357" s="3" t="s">
        <v>11</v>
      </c>
      <c r="C357" s="3" t="str">
        <f t="shared" si="10"/>
        <v>Enero 1984</v>
      </c>
      <c r="D357" s="20">
        <v>1.66916240714193</v>
      </c>
      <c r="E357" s="7">
        <v>1.3899999999999999E-2</v>
      </c>
      <c r="F357" s="7">
        <v>1.3899999999999999E-2</v>
      </c>
      <c r="G357" s="17">
        <v>0.17019999999999999</v>
      </c>
    </row>
    <row r="358" spans="1:7" ht="10.5" thickBot="1" x14ac:dyDescent="0.25">
      <c r="A358" s="6">
        <f t="shared" si="11"/>
        <v>1984</v>
      </c>
      <c r="B358" s="3" t="s">
        <v>12</v>
      </c>
      <c r="C358" s="3" t="str">
        <f t="shared" si="10"/>
        <v>Febrero 1984</v>
      </c>
      <c r="D358" s="20">
        <v>1.69148021391088</v>
      </c>
      <c r="E358" s="7">
        <v>1.34E-2</v>
      </c>
      <c r="F358" s="7">
        <v>2.7400000000000001E-2</v>
      </c>
      <c r="G358" s="17">
        <v>0.17199999999999999</v>
      </c>
    </row>
    <row r="359" spans="1:7" ht="10.5" thickBot="1" x14ac:dyDescent="0.25">
      <c r="A359" s="6">
        <f t="shared" si="11"/>
        <v>1984</v>
      </c>
      <c r="B359" s="3" t="s">
        <v>13</v>
      </c>
      <c r="C359" s="3" t="str">
        <f t="shared" si="10"/>
        <v>Marzo 1984</v>
      </c>
      <c r="D359" s="20">
        <v>1.7215695369294499</v>
      </c>
      <c r="E359" s="7">
        <v>1.78E-2</v>
      </c>
      <c r="F359" s="7">
        <v>4.5699999999999998E-2</v>
      </c>
      <c r="G359" s="17">
        <v>0.16639999999999999</v>
      </c>
    </row>
    <row r="360" spans="1:7" ht="10.5" thickBot="1" x14ac:dyDescent="0.25">
      <c r="A360" s="6">
        <f t="shared" si="11"/>
        <v>1984</v>
      </c>
      <c r="B360" s="3" t="s">
        <v>14</v>
      </c>
      <c r="C360" s="3" t="str">
        <f t="shared" si="10"/>
        <v>Abril 1984</v>
      </c>
      <c r="D360" s="20">
        <v>1.75576797762015</v>
      </c>
      <c r="E360" s="7">
        <v>1.9900000000000001E-2</v>
      </c>
      <c r="F360" s="7">
        <v>6.6500000000000004E-2</v>
      </c>
      <c r="G360" s="17">
        <v>0.1542</v>
      </c>
    </row>
    <row r="361" spans="1:7" ht="10.5" thickBot="1" x14ac:dyDescent="0.25">
      <c r="A361" s="6">
        <f t="shared" si="11"/>
        <v>1984</v>
      </c>
      <c r="B361" s="3" t="s">
        <v>15</v>
      </c>
      <c r="C361" s="3" t="str">
        <f t="shared" si="10"/>
        <v>Mayo 1984</v>
      </c>
      <c r="D361" s="20">
        <v>1.7804177976628599</v>
      </c>
      <c r="E361" s="7">
        <v>1.4E-2</v>
      </c>
      <c r="F361" s="7">
        <v>8.14E-2</v>
      </c>
      <c r="G361" s="17">
        <v>0.1416</v>
      </c>
    </row>
    <row r="362" spans="1:7" ht="10.5" thickBot="1" x14ac:dyDescent="0.25">
      <c r="A362" s="6">
        <f t="shared" si="11"/>
        <v>1984</v>
      </c>
      <c r="B362" s="3" t="s">
        <v>16</v>
      </c>
      <c r="C362" s="3" t="str">
        <f t="shared" si="10"/>
        <v>Junio 1984</v>
      </c>
      <c r="D362" s="20">
        <v>1.8090085177186199</v>
      </c>
      <c r="E362" s="7">
        <v>1.61E-2</v>
      </c>
      <c r="F362" s="7">
        <v>9.8799999999999999E-2</v>
      </c>
      <c r="G362" s="17">
        <v>0.1517</v>
      </c>
    </row>
    <row r="363" spans="1:7" ht="10.5" thickBot="1" x14ac:dyDescent="0.25">
      <c r="A363" s="6">
        <f t="shared" si="11"/>
        <v>1984</v>
      </c>
      <c r="B363" s="3" t="s">
        <v>5</v>
      </c>
      <c r="C363" s="3" t="str">
        <f t="shared" si="10"/>
        <v>Julio 1984</v>
      </c>
      <c r="D363" s="20">
        <v>1.83104852105058</v>
      </c>
      <c r="E363" s="7">
        <v>1.2200000000000001E-2</v>
      </c>
      <c r="F363" s="7">
        <v>0.11219999999999999</v>
      </c>
      <c r="G363" s="17">
        <v>0.15670000000000001</v>
      </c>
    </row>
    <row r="364" spans="1:7" ht="10.5" thickBot="1" x14ac:dyDescent="0.25">
      <c r="A364" s="6">
        <f t="shared" si="11"/>
        <v>1984</v>
      </c>
      <c r="B364" s="3" t="s">
        <v>6</v>
      </c>
      <c r="C364" s="3" t="str">
        <f t="shared" si="10"/>
        <v>Agosto 1984</v>
      </c>
      <c r="D364" s="20">
        <v>1.8379328810981901</v>
      </c>
      <c r="E364" s="7">
        <v>3.8E-3</v>
      </c>
      <c r="F364" s="7">
        <v>0.1164</v>
      </c>
      <c r="G364" s="17">
        <v>0.16189999999999999</v>
      </c>
    </row>
    <row r="365" spans="1:7" ht="10.5" thickBot="1" x14ac:dyDescent="0.25">
      <c r="A365" s="6">
        <f t="shared" si="11"/>
        <v>1984</v>
      </c>
      <c r="B365" s="3" t="s">
        <v>7</v>
      </c>
      <c r="C365" s="3" t="str">
        <f t="shared" si="10"/>
        <v>Septiembre 1984</v>
      </c>
      <c r="D365" s="20">
        <v>1.8581957800317701</v>
      </c>
      <c r="E365" s="7">
        <v>1.0999999999999999E-2</v>
      </c>
      <c r="F365" s="7">
        <v>0.12870000000000001</v>
      </c>
      <c r="G365" s="17">
        <v>0.1651</v>
      </c>
    </row>
    <row r="366" spans="1:7" ht="10.5" thickBot="1" x14ac:dyDescent="0.25">
      <c r="A366" s="6">
        <f t="shared" si="11"/>
        <v>1984</v>
      </c>
      <c r="B366" s="3" t="s">
        <v>8</v>
      </c>
      <c r="C366" s="3" t="str">
        <f t="shared" si="10"/>
        <v>Octubre 1984</v>
      </c>
      <c r="D366" s="20">
        <v>1.86874463265263</v>
      </c>
      <c r="E366" s="7">
        <v>5.7000000000000002E-3</v>
      </c>
      <c r="F366" s="7">
        <v>0.1351</v>
      </c>
      <c r="G366" s="17">
        <v>0.1527</v>
      </c>
    </row>
    <row r="367" spans="1:7" ht="10.5" thickBot="1" x14ac:dyDescent="0.25">
      <c r="A367" s="6">
        <f t="shared" si="11"/>
        <v>1984</v>
      </c>
      <c r="B367" s="3" t="s">
        <v>9</v>
      </c>
      <c r="C367" s="3" t="str">
        <f t="shared" si="10"/>
        <v>Noviembre 1984</v>
      </c>
      <c r="D367" s="20">
        <v>1.9068288314681401</v>
      </c>
      <c r="E367" s="7">
        <v>2.0400000000000001E-2</v>
      </c>
      <c r="F367" s="7">
        <v>0.15820000000000001</v>
      </c>
      <c r="G367" s="17">
        <v>0.16389999999999999</v>
      </c>
    </row>
    <row r="368" spans="1:7" ht="10.5" thickBot="1" x14ac:dyDescent="0.25">
      <c r="A368" s="8">
        <f t="shared" si="11"/>
        <v>1984</v>
      </c>
      <c r="B368" s="3" t="s">
        <v>10</v>
      </c>
      <c r="C368" s="3" t="str">
        <f t="shared" si="10"/>
        <v>Diciembre 1984</v>
      </c>
      <c r="D368" s="20">
        <v>1.94735602533249</v>
      </c>
      <c r="E368" s="7">
        <v>2.1299999999999999E-2</v>
      </c>
      <c r="F368" s="7">
        <v>0.18279999999999999</v>
      </c>
      <c r="G368" s="17">
        <v>0.18279999999999999</v>
      </c>
    </row>
    <row r="369" spans="1:7" ht="10.5" thickBot="1" x14ac:dyDescent="0.25">
      <c r="A369" s="9">
        <f t="shared" si="11"/>
        <v>1985</v>
      </c>
      <c r="B369" s="10" t="s">
        <v>11</v>
      </c>
      <c r="C369" s="10" t="str">
        <f t="shared" si="10"/>
        <v>Enero 1985</v>
      </c>
      <c r="D369" s="19">
        <v>1.9908811231210399</v>
      </c>
      <c r="E369" s="11">
        <v>2.24E-2</v>
      </c>
      <c r="F369" s="11">
        <v>2.24E-2</v>
      </c>
      <c r="G369" s="12">
        <v>0.19270000000000001</v>
      </c>
    </row>
    <row r="370" spans="1:7" ht="10.5" thickBot="1" x14ac:dyDescent="0.25">
      <c r="A370" s="13">
        <f t="shared" si="11"/>
        <v>1985</v>
      </c>
      <c r="B370" s="10" t="s">
        <v>12</v>
      </c>
      <c r="C370" s="10" t="str">
        <f t="shared" si="10"/>
        <v>Febrero 1985</v>
      </c>
      <c r="D370" s="19">
        <v>2.0506723799433</v>
      </c>
      <c r="E370" s="11">
        <v>0.03</v>
      </c>
      <c r="F370" s="11">
        <v>5.3100000000000001E-2</v>
      </c>
      <c r="G370" s="12">
        <v>0.21240000000000001</v>
      </c>
    </row>
    <row r="371" spans="1:7" ht="10.5" thickBot="1" x14ac:dyDescent="0.25">
      <c r="A371" s="13">
        <f t="shared" si="11"/>
        <v>1985</v>
      </c>
      <c r="B371" s="10" t="s">
        <v>13</v>
      </c>
      <c r="C371" s="10" t="str">
        <f t="shared" si="10"/>
        <v>Marzo 1985</v>
      </c>
      <c r="D371" s="19">
        <v>2.1143500928889498</v>
      </c>
      <c r="E371" s="11">
        <v>3.1099999999999999E-2</v>
      </c>
      <c r="F371" s="11">
        <v>8.5800000000000001E-2</v>
      </c>
      <c r="G371" s="12">
        <v>0.22819999999999999</v>
      </c>
    </row>
    <row r="372" spans="1:7" ht="10.5" thickBot="1" x14ac:dyDescent="0.25">
      <c r="A372" s="13">
        <f t="shared" si="11"/>
        <v>1985</v>
      </c>
      <c r="B372" s="10" t="s">
        <v>14</v>
      </c>
      <c r="C372" s="10" t="str">
        <f t="shared" si="10"/>
        <v>Abril 1985</v>
      </c>
      <c r="D372" s="19">
        <v>2.1738635462742302</v>
      </c>
      <c r="E372" s="11">
        <v>2.81E-2</v>
      </c>
      <c r="F372" s="11">
        <v>0.1163</v>
      </c>
      <c r="G372" s="12">
        <v>0.23810000000000001</v>
      </c>
    </row>
    <row r="373" spans="1:7" ht="10.5" thickBot="1" x14ac:dyDescent="0.25">
      <c r="A373" s="13">
        <f t="shared" si="11"/>
        <v>1985</v>
      </c>
      <c r="B373" s="10" t="s">
        <v>15</v>
      </c>
      <c r="C373" s="10" t="str">
        <f t="shared" si="10"/>
        <v>Mayo 1985</v>
      </c>
      <c r="D373" s="19">
        <v>2.2720168053489802</v>
      </c>
      <c r="E373" s="11">
        <v>4.5199999999999997E-2</v>
      </c>
      <c r="F373" s="11">
        <v>0.16669999999999999</v>
      </c>
      <c r="G373" s="12">
        <v>0.27610000000000001</v>
      </c>
    </row>
    <row r="374" spans="1:7" ht="10.5" thickBot="1" x14ac:dyDescent="0.25">
      <c r="A374" s="13">
        <f t="shared" si="11"/>
        <v>1985</v>
      </c>
      <c r="B374" s="10" t="s">
        <v>16</v>
      </c>
      <c r="C374" s="10" t="str">
        <f t="shared" si="10"/>
        <v>Junio 1985</v>
      </c>
      <c r="D374" s="19">
        <v>2.3139323183996501</v>
      </c>
      <c r="E374" s="11">
        <v>1.84E-2</v>
      </c>
      <c r="F374" s="11">
        <v>0.18820000000000001</v>
      </c>
      <c r="G374" s="12">
        <v>0.27910000000000001</v>
      </c>
    </row>
    <row r="375" spans="1:7" ht="10.5" thickBot="1" x14ac:dyDescent="0.25">
      <c r="A375" s="13">
        <f t="shared" si="11"/>
        <v>1985</v>
      </c>
      <c r="B375" s="10" t="s">
        <v>5</v>
      </c>
      <c r="C375" s="10" t="str">
        <f t="shared" si="10"/>
        <v>Julio 1985</v>
      </c>
      <c r="D375" s="19">
        <v>2.3004414017414199</v>
      </c>
      <c r="E375" s="11">
        <v>-5.7999999999999996E-3</v>
      </c>
      <c r="F375" s="11">
        <v>0.18129999999999999</v>
      </c>
      <c r="G375" s="14">
        <v>0.25640000000000002</v>
      </c>
    </row>
    <row r="376" spans="1:7" ht="10.5" thickBot="1" x14ac:dyDescent="0.25">
      <c r="A376" s="13">
        <f t="shared" si="11"/>
        <v>1985</v>
      </c>
      <c r="B376" s="10" t="s">
        <v>6</v>
      </c>
      <c r="C376" s="10" t="str">
        <f t="shared" si="10"/>
        <v>Agosto 1985</v>
      </c>
      <c r="D376" s="19">
        <v>2.2912808683068899</v>
      </c>
      <c r="E376" s="11">
        <v>-4.0000000000000001E-3</v>
      </c>
      <c r="F376" s="11">
        <v>0.17660000000000001</v>
      </c>
      <c r="G376" s="14">
        <v>0.2467</v>
      </c>
    </row>
    <row r="377" spans="1:7" ht="10.5" thickBot="1" x14ac:dyDescent="0.25">
      <c r="A377" s="13">
        <f t="shared" si="11"/>
        <v>1985</v>
      </c>
      <c r="B377" s="10" t="s">
        <v>7</v>
      </c>
      <c r="C377" s="10" t="str">
        <f t="shared" si="10"/>
        <v>Septiembre 1985</v>
      </c>
      <c r="D377" s="19">
        <v>2.3116003051258902</v>
      </c>
      <c r="E377" s="11">
        <v>8.8999999999999999E-3</v>
      </c>
      <c r="F377" s="11">
        <v>0.187</v>
      </c>
      <c r="G377" s="14">
        <v>0.24399999999999999</v>
      </c>
    </row>
    <row r="378" spans="1:7" ht="10.5" thickBot="1" x14ac:dyDescent="0.25">
      <c r="A378" s="13">
        <f t="shared" si="11"/>
        <v>1985</v>
      </c>
      <c r="B378" s="10" t="s">
        <v>8</v>
      </c>
      <c r="C378" s="10" t="str">
        <f t="shared" si="10"/>
        <v>Octubre 1985</v>
      </c>
      <c r="D378" s="19">
        <v>2.3316419385079099</v>
      </c>
      <c r="E378" s="11">
        <v>8.6999999999999994E-3</v>
      </c>
      <c r="F378" s="11">
        <v>0.1973</v>
      </c>
      <c r="G378" s="14">
        <v>0.2477</v>
      </c>
    </row>
    <row r="379" spans="1:7" ht="10.5" thickBot="1" x14ac:dyDescent="0.25">
      <c r="A379" s="13">
        <f t="shared" si="11"/>
        <v>1985</v>
      </c>
      <c r="B379" s="10" t="s">
        <v>9</v>
      </c>
      <c r="C379" s="10" t="str">
        <f t="shared" si="10"/>
        <v>Noviembre 1985</v>
      </c>
      <c r="D379" s="19">
        <v>2.3547924575892201</v>
      </c>
      <c r="E379" s="11">
        <v>9.9000000000000008E-3</v>
      </c>
      <c r="F379" s="11">
        <v>0.2092</v>
      </c>
      <c r="G379" s="14">
        <v>0.2349</v>
      </c>
    </row>
    <row r="380" spans="1:7" ht="10.5" thickBot="1" x14ac:dyDescent="0.25">
      <c r="A380" s="15">
        <f t="shared" si="11"/>
        <v>1985</v>
      </c>
      <c r="B380" s="10" t="s">
        <v>10</v>
      </c>
      <c r="C380" s="10" t="str">
        <f t="shared" si="10"/>
        <v>Diciembre 1985</v>
      </c>
      <c r="D380" s="19">
        <v>2.3845488352825601</v>
      </c>
      <c r="E380" s="11">
        <v>1.26E-2</v>
      </c>
      <c r="F380" s="11">
        <v>0.22450000000000001</v>
      </c>
      <c r="G380" s="14">
        <v>0.22450000000000001</v>
      </c>
    </row>
    <row r="381" spans="1:7" ht="10.5" thickBot="1" x14ac:dyDescent="0.25">
      <c r="A381" s="16">
        <f t="shared" si="11"/>
        <v>1986</v>
      </c>
      <c r="B381" s="3" t="s">
        <v>11</v>
      </c>
      <c r="C381" s="3" t="str">
        <f t="shared" si="10"/>
        <v>Enero 1986</v>
      </c>
      <c r="D381" s="20">
        <v>2.4596632550496702</v>
      </c>
      <c r="E381" s="7">
        <v>3.15E-2</v>
      </c>
      <c r="F381" s="7">
        <v>3.15E-2</v>
      </c>
      <c r="G381" s="17">
        <v>0.23549999999999999</v>
      </c>
    </row>
    <row r="382" spans="1:7" ht="10.5" thickBot="1" x14ac:dyDescent="0.25">
      <c r="A382" s="6">
        <f t="shared" si="11"/>
        <v>1986</v>
      </c>
      <c r="B382" s="3" t="s">
        <v>12</v>
      </c>
      <c r="C382" s="3" t="str">
        <f t="shared" si="10"/>
        <v>Febrero 1986</v>
      </c>
      <c r="D382" s="20">
        <v>2.5371641319801901</v>
      </c>
      <c r="E382" s="7">
        <v>3.15E-2</v>
      </c>
      <c r="F382" s="7">
        <v>6.4000000000000001E-2</v>
      </c>
      <c r="G382" s="17">
        <v>0.23719999999999999</v>
      </c>
    </row>
    <row r="383" spans="1:7" ht="10.5" thickBot="1" x14ac:dyDescent="0.25">
      <c r="A383" s="6">
        <f t="shared" si="11"/>
        <v>1986</v>
      </c>
      <c r="B383" s="3" t="s">
        <v>13</v>
      </c>
      <c r="C383" s="3" t="str">
        <f t="shared" si="10"/>
        <v>Marzo 1986</v>
      </c>
      <c r="D383" s="20">
        <v>2.5932364523395401</v>
      </c>
      <c r="E383" s="7">
        <v>2.2100000000000002E-2</v>
      </c>
      <c r="F383" s="7">
        <v>8.7499999999999994E-2</v>
      </c>
      <c r="G383" s="17">
        <v>0.22650000000000001</v>
      </c>
    </row>
    <row r="384" spans="1:7" ht="10.5" thickBot="1" x14ac:dyDescent="0.25">
      <c r="A384" s="6">
        <f t="shared" si="11"/>
        <v>1986</v>
      </c>
      <c r="B384" s="3" t="s">
        <v>14</v>
      </c>
      <c r="C384" s="3" t="str">
        <f t="shared" si="10"/>
        <v>Abril 1986</v>
      </c>
      <c r="D384" s="20">
        <v>2.66390880910929</v>
      </c>
      <c r="E384" s="7">
        <v>2.7300000000000001E-2</v>
      </c>
      <c r="F384" s="7">
        <v>0.1172</v>
      </c>
      <c r="G384" s="17">
        <v>0.22539999999999999</v>
      </c>
    </row>
    <row r="385" spans="1:7" ht="10.5" thickBot="1" x14ac:dyDescent="0.25">
      <c r="A385" s="6">
        <f t="shared" si="11"/>
        <v>1986</v>
      </c>
      <c r="B385" s="3" t="s">
        <v>15</v>
      </c>
      <c r="C385" s="3" t="str">
        <f t="shared" si="10"/>
        <v>Mayo 1986</v>
      </c>
      <c r="D385" s="20">
        <v>2.64469988803963</v>
      </c>
      <c r="E385" s="7">
        <v>-7.1999999999999998E-3</v>
      </c>
      <c r="F385" s="7">
        <v>0.1091</v>
      </c>
      <c r="G385" s="17">
        <v>0.16400000000000001</v>
      </c>
    </row>
    <row r="386" spans="1:7" ht="10.5" thickBot="1" x14ac:dyDescent="0.25">
      <c r="A386" s="6">
        <f t="shared" si="11"/>
        <v>1986</v>
      </c>
      <c r="B386" s="3" t="s">
        <v>16</v>
      </c>
      <c r="C386" s="3" t="str">
        <f t="shared" si="10"/>
        <v>Junio 1986</v>
      </c>
      <c r="D386" s="20">
        <v>2.6253799851948898</v>
      </c>
      <c r="E386" s="7">
        <v>-7.3000000000000001E-3</v>
      </c>
      <c r="F386" s="7">
        <v>0.10100000000000001</v>
      </c>
      <c r="G386" s="17">
        <v>0.1346</v>
      </c>
    </row>
    <row r="387" spans="1:7" ht="10.5" thickBot="1" x14ac:dyDescent="0.25">
      <c r="A387" s="6">
        <f t="shared" si="11"/>
        <v>1986</v>
      </c>
      <c r="B387" s="3" t="s">
        <v>5</v>
      </c>
      <c r="C387" s="3" t="str">
        <f t="shared" si="10"/>
        <v>Julio 1986</v>
      </c>
      <c r="D387" s="20">
        <v>2.62499189798142</v>
      </c>
      <c r="E387" s="7">
        <v>-1E-4</v>
      </c>
      <c r="F387" s="7">
        <v>0.1008</v>
      </c>
      <c r="G387" s="17">
        <v>0.1411</v>
      </c>
    </row>
    <row r="388" spans="1:7" ht="10.5" thickBot="1" x14ac:dyDescent="0.25">
      <c r="A388" s="6">
        <f t="shared" si="11"/>
        <v>1986</v>
      </c>
      <c r="B388" s="3" t="s">
        <v>6</v>
      </c>
      <c r="C388" s="3" t="str">
        <f t="shared" ref="C388:C451" si="12">B388&amp;" "&amp;A388</f>
        <v>Agosto 1986</v>
      </c>
      <c r="D388" s="20">
        <v>2.6617436174974398</v>
      </c>
      <c r="E388" s="7">
        <v>1.4E-2</v>
      </c>
      <c r="F388" s="7">
        <v>0.1162</v>
      </c>
      <c r="G388" s="17">
        <v>0.16170000000000001</v>
      </c>
    </row>
    <row r="389" spans="1:7" ht="10.5" thickBot="1" x14ac:dyDescent="0.25">
      <c r="A389" s="6">
        <f t="shared" si="11"/>
        <v>1986</v>
      </c>
      <c r="B389" s="3" t="s">
        <v>7</v>
      </c>
      <c r="C389" s="3" t="str">
        <f t="shared" si="12"/>
        <v>Septiembre 1986</v>
      </c>
      <c r="D389" s="20">
        <v>2.6997168345378801</v>
      </c>
      <c r="E389" s="7">
        <v>1.43E-2</v>
      </c>
      <c r="F389" s="7">
        <v>0.13220000000000001</v>
      </c>
      <c r="G389" s="17">
        <v>0.16789999999999999</v>
      </c>
    </row>
    <row r="390" spans="1:7" ht="10.5" thickBot="1" x14ac:dyDescent="0.25">
      <c r="A390" s="6">
        <f t="shared" si="11"/>
        <v>1986</v>
      </c>
      <c r="B390" s="3" t="s">
        <v>8</v>
      </c>
      <c r="C390" s="3" t="str">
        <f t="shared" si="12"/>
        <v>Octubre 1986</v>
      </c>
      <c r="D390" s="20">
        <v>2.7552893879100999</v>
      </c>
      <c r="E390" s="7">
        <v>2.06E-2</v>
      </c>
      <c r="F390" s="7">
        <v>0.1555</v>
      </c>
      <c r="G390" s="17">
        <v>0.1817</v>
      </c>
    </row>
    <row r="391" spans="1:7" ht="10.5" thickBot="1" x14ac:dyDescent="0.25">
      <c r="A391" s="6">
        <f t="shared" si="11"/>
        <v>1986</v>
      </c>
      <c r="B391" s="3" t="s">
        <v>9</v>
      </c>
      <c r="C391" s="3" t="str">
        <f t="shared" si="12"/>
        <v>Noviembre 1986</v>
      </c>
      <c r="D391" s="20">
        <v>2.8149689649587</v>
      </c>
      <c r="E391" s="7">
        <v>2.1700000000000001E-2</v>
      </c>
      <c r="F391" s="7">
        <v>0.18049999999999999</v>
      </c>
      <c r="G391" s="17">
        <v>0.19539999999999999</v>
      </c>
    </row>
    <row r="392" spans="1:7" ht="10.5" thickBot="1" x14ac:dyDescent="0.25">
      <c r="A392" s="8">
        <f t="shared" si="11"/>
        <v>1986</v>
      </c>
      <c r="B392" s="3" t="s">
        <v>10</v>
      </c>
      <c r="C392" s="3" t="str">
        <f t="shared" si="12"/>
        <v>Diciembre 1986</v>
      </c>
      <c r="D392" s="20">
        <v>2.8840317369905599</v>
      </c>
      <c r="E392" s="7">
        <v>2.4500000000000001E-2</v>
      </c>
      <c r="F392" s="7">
        <v>0.20949999999999999</v>
      </c>
      <c r="G392" s="17">
        <v>0.20949999999999999</v>
      </c>
    </row>
    <row r="393" spans="1:7" ht="10.5" thickBot="1" x14ac:dyDescent="0.25">
      <c r="A393" s="9">
        <f t="shared" si="11"/>
        <v>1987</v>
      </c>
      <c r="B393" s="10" t="s">
        <v>11</v>
      </c>
      <c r="C393" s="10" t="str">
        <f t="shared" si="12"/>
        <v>Enero 1987</v>
      </c>
      <c r="D393" s="19">
        <v>2.9782992379405</v>
      </c>
      <c r="E393" s="11">
        <v>3.27E-2</v>
      </c>
      <c r="F393" s="11">
        <v>3.27E-2</v>
      </c>
      <c r="G393" s="12">
        <v>0.2109</v>
      </c>
    </row>
    <row r="394" spans="1:7" ht="10.5" thickBot="1" x14ac:dyDescent="0.25">
      <c r="A394" s="13">
        <f t="shared" si="11"/>
        <v>1987</v>
      </c>
      <c r="B394" s="10" t="s">
        <v>12</v>
      </c>
      <c r="C394" s="10" t="str">
        <f t="shared" si="12"/>
        <v>Febrero 1987</v>
      </c>
      <c r="D394" s="19">
        <v>3.03881222530004</v>
      </c>
      <c r="E394" s="11">
        <v>2.0299999999999999E-2</v>
      </c>
      <c r="F394" s="11">
        <v>5.3699999999999998E-2</v>
      </c>
      <c r="G394" s="12">
        <v>0.19769999999999999</v>
      </c>
    </row>
    <row r="395" spans="1:7" ht="10.5" thickBot="1" x14ac:dyDescent="0.25">
      <c r="A395" s="13">
        <f t="shared" si="11"/>
        <v>1987</v>
      </c>
      <c r="B395" s="10" t="s">
        <v>13</v>
      </c>
      <c r="C395" s="10" t="str">
        <f t="shared" si="12"/>
        <v>Marzo 1987</v>
      </c>
      <c r="D395" s="19">
        <v>3.12114325244139</v>
      </c>
      <c r="E395" s="11">
        <v>2.7099999999999999E-2</v>
      </c>
      <c r="F395" s="11">
        <v>8.2199999999999995E-2</v>
      </c>
      <c r="G395" s="12">
        <v>0.2036</v>
      </c>
    </row>
    <row r="396" spans="1:7" ht="10.5" thickBot="1" x14ac:dyDescent="0.25">
      <c r="A396" s="13">
        <f t="shared" si="11"/>
        <v>1987</v>
      </c>
      <c r="B396" s="10" t="s">
        <v>14</v>
      </c>
      <c r="C396" s="10" t="str">
        <f t="shared" si="12"/>
        <v>Abril 1987</v>
      </c>
      <c r="D396" s="19">
        <v>3.1914833618845</v>
      </c>
      <c r="E396" s="11">
        <v>2.2499999999999999E-2</v>
      </c>
      <c r="F396" s="11">
        <v>0.1066</v>
      </c>
      <c r="G396" s="12">
        <v>0.19800000000000001</v>
      </c>
    </row>
    <row r="397" spans="1:7" ht="10.5" thickBot="1" x14ac:dyDescent="0.25">
      <c r="A397" s="13">
        <f t="shared" si="11"/>
        <v>1987</v>
      </c>
      <c r="B397" s="10" t="s">
        <v>15</v>
      </c>
      <c r="C397" s="10" t="str">
        <f t="shared" si="12"/>
        <v>Mayo 1987</v>
      </c>
      <c r="D397" s="19">
        <v>3.2457778798468802</v>
      </c>
      <c r="E397" s="11">
        <v>1.7000000000000001E-2</v>
      </c>
      <c r="F397" s="11">
        <v>0.12540000000000001</v>
      </c>
      <c r="G397" s="12">
        <v>0.2273</v>
      </c>
    </row>
    <row r="398" spans="1:7" ht="10.5" thickBot="1" x14ac:dyDescent="0.25">
      <c r="A398" s="13">
        <f t="shared" si="11"/>
        <v>1987</v>
      </c>
      <c r="B398" s="10" t="s">
        <v>16</v>
      </c>
      <c r="C398" s="10" t="str">
        <f t="shared" si="12"/>
        <v>Junio 1987</v>
      </c>
      <c r="D398" s="19">
        <v>3.2768122929500598</v>
      </c>
      <c r="E398" s="11">
        <v>9.5999999999999992E-3</v>
      </c>
      <c r="F398" s="11">
        <v>0.13619999999999999</v>
      </c>
      <c r="G398" s="12">
        <v>0.24809999999999999</v>
      </c>
    </row>
    <row r="399" spans="1:7" ht="10.5" thickBot="1" x14ac:dyDescent="0.25">
      <c r="A399" s="13">
        <f t="shared" si="11"/>
        <v>1987</v>
      </c>
      <c r="B399" s="10" t="s">
        <v>5</v>
      </c>
      <c r="C399" s="10" t="str">
        <f t="shared" si="12"/>
        <v>Julio 1987</v>
      </c>
      <c r="D399" s="19">
        <v>3.3246670759637298</v>
      </c>
      <c r="E399" s="11">
        <v>1.46E-2</v>
      </c>
      <c r="F399" s="11">
        <v>0.15279999999999999</v>
      </c>
      <c r="G399" s="14">
        <v>0.26650000000000001</v>
      </c>
    </row>
    <row r="400" spans="1:7" ht="10.5" thickBot="1" x14ac:dyDescent="0.25">
      <c r="A400" s="13">
        <f t="shared" si="11"/>
        <v>1987</v>
      </c>
      <c r="B400" s="10" t="s">
        <v>6</v>
      </c>
      <c r="C400" s="10" t="str">
        <f t="shared" si="12"/>
        <v>Agosto 1987</v>
      </c>
      <c r="D400" s="19">
        <v>3.33438321627222</v>
      </c>
      <c r="E400" s="11">
        <v>2.8999999999999998E-3</v>
      </c>
      <c r="F400" s="11">
        <v>0.15620000000000001</v>
      </c>
      <c r="G400" s="14">
        <v>0.25269999999999998</v>
      </c>
    </row>
    <row r="401" spans="1:7" ht="10.5" thickBot="1" x14ac:dyDescent="0.25">
      <c r="A401" s="13">
        <f t="shared" si="11"/>
        <v>1987</v>
      </c>
      <c r="B401" s="10" t="s">
        <v>7</v>
      </c>
      <c r="C401" s="10" t="str">
        <f t="shared" si="12"/>
        <v>Septiembre 1987</v>
      </c>
      <c r="D401" s="19">
        <v>3.3749655520248099</v>
      </c>
      <c r="E401" s="11">
        <v>1.2200000000000001E-2</v>
      </c>
      <c r="F401" s="11">
        <v>0.17019999999999999</v>
      </c>
      <c r="G401" s="14">
        <v>0.25009999999999999</v>
      </c>
    </row>
    <row r="402" spans="1:7" ht="10.5" thickBot="1" x14ac:dyDescent="0.25">
      <c r="A402" s="13">
        <f t="shared" si="11"/>
        <v>1987</v>
      </c>
      <c r="B402" s="10" t="s">
        <v>8</v>
      </c>
      <c r="C402" s="10" t="str">
        <f t="shared" si="12"/>
        <v>Octubre 1987</v>
      </c>
      <c r="D402" s="19">
        <v>3.4385322831953902</v>
      </c>
      <c r="E402" s="11">
        <v>1.8800000000000001E-2</v>
      </c>
      <c r="F402" s="11">
        <v>0.1923</v>
      </c>
      <c r="G402" s="14">
        <v>0.248</v>
      </c>
    </row>
    <row r="403" spans="1:7" ht="10.5" thickBot="1" x14ac:dyDescent="0.25">
      <c r="A403" s="13">
        <f t="shared" si="11"/>
        <v>1987</v>
      </c>
      <c r="B403" s="10" t="s">
        <v>9</v>
      </c>
      <c r="C403" s="10" t="str">
        <f t="shared" si="12"/>
        <v>Noviembre 1987</v>
      </c>
      <c r="D403" s="19">
        <v>3.51109202814001</v>
      </c>
      <c r="E403" s="11">
        <v>2.1100000000000001E-2</v>
      </c>
      <c r="F403" s="11">
        <v>0.21740000000000001</v>
      </c>
      <c r="G403" s="14">
        <v>0.24729999999999999</v>
      </c>
    </row>
    <row r="404" spans="1:7" ht="10.5" thickBot="1" x14ac:dyDescent="0.25">
      <c r="A404" s="15">
        <f t="shared" si="11"/>
        <v>1987</v>
      </c>
      <c r="B404" s="10" t="s">
        <v>10</v>
      </c>
      <c r="C404" s="10" t="str">
        <f t="shared" si="12"/>
        <v>Diciembre 1987</v>
      </c>
      <c r="D404" s="19">
        <v>3.5768239509224302</v>
      </c>
      <c r="E404" s="11">
        <v>1.8700000000000001E-2</v>
      </c>
      <c r="F404" s="11">
        <v>0.2402</v>
      </c>
      <c r="G404" s="14">
        <v>0.2402</v>
      </c>
    </row>
    <row r="405" spans="1:7" ht="10.5" thickBot="1" x14ac:dyDescent="0.25">
      <c r="A405" s="16">
        <f t="shared" si="11"/>
        <v>1988</v>
      </c>
      <c r="B405" s="3" t="s">
        <v>11</v>
      </c>
      <c r="C405" s="3" t="str">
        <f t="shared" si="12"/>
        <v>Enero 1988</v>
      </c>
      <c r="D405" s="20">
        <v>3.6843038670950299</v>
      </c>
      <c r="E405" s="7">
        <v>0.03</v>
      </c>
      <c r="F405" s="7">
        <v>0.03</v>
      </c>
      <c r="G405" s="17">
        <v>0.23699999999999999</v>
      </c>
    </row>
    <row r="406" spans="1:7" ht="10.5" thickBot="1" x14ac:dyDescent="0.25">
      <c r="A406" s="6">
        <f t="shared" ref="A406:A469" si="13">A394+1</f>
        <v>1988</v>
      </c>
      <c r="B406" s="3" t="s">
        <v>12</v>
      </c>
      <c r="C406" s="3" t="str">
        <f t="shared" si="12"/>
        <v>Febrero 1988</v>
      </c>
      <c r="D406" s="20">
        <v>3.8328665840059499</v>
      </c>
      <c r="E406" s="7">
        <v>4.0300000000000002E-2</v>
      </c>
      <c r="F406" s="7">
        <v>7.1599999999999997E-2</v>
      </c>
      <c r="G406" s="17">
        <v>0.26129999999999998</v>
      </c>
    </row>
    <row r="407" spans="1:7" ht="10.5" thickBot="1" x14ac:dyDescent="0.25">
      <c r="A407" s="6">
        <f t="shared" si="13"/>
        <v>1988</v>
      </c>
      <c r="B407" s="3" t="s">
        <v>13</v>
      </c>
      <c r="C407" s="3" t="str">
        <f t="shared" si="12"/>
        <v>Marzo 1988</v>
      </c>
      <c r="D407" s="20">
        <v>3.9437883312030602</v>
      </c>
      <c r="E407" s="7">
        <v>2.8899999999999999E-2</v>
      </c>
      <c r="F407" s="7">
        <v>0.1026</v>
      </c>
      <c r="G407" s="17">
        <v>0.2636</v>
      </c>
    </row>
    <row r="408" spans="1:7" ht="10.5" thickBot="1" x14ac:dyDescent="0.25">
      <c r="A408" s="6">
        <f t="shared" si="13"/>
        <v>1988</v>
      </c>
      <c r="B408" s="3" t="s">
        <v>14</v>
      </c>
      <c r="C408" s="3" t="str">
        <f t="shared" si="12"/>
        <v>Abril 1988</v>
      </c>
      <c r="D408" s="20">
        <v>4.0980690525254104</v>
      </c>
      <c r="E408" s="7">
        <v>3.9100000000000003E-2</v>
      </c>
      <c r="F408" s="7">
        <v>0.1457</v>
      </c>
      <c r="G408" s="17">
        <v>0.28410000000000002</v>
      </c>
    </row>
    <row r="409" spans="1:7" ht="10.5" thickBot="1" x14ac:dyDescent="0.25">
      <c r="A409" s="6">
        <f t="shared" si="13"/>
        <v>1988</v>
      </c>
      <c r="B409" s="3" t="s">
        <v>15</v>
      </c>
      <c r="C409" s="3" t="str">
        <f t="shared" si="12"/>
        <v>Mayo 1988</v>
      </c>
      <c r="D409" s="20">
        <v>4.1688530890688202</v>
      </c>
      <c r="E409" s="7">
        <v>1.7299999999999999E-2</v>
      </c>
      <c r="F409" s="7">
        <v>0.16550000000000001</v>
      </c>
      <c r="G409" s="17">
        <v>0.28439999999999999</v>
      </c>
    </row>
    <row r="410" spans="1:7" ht="10.5" thickBot="1" x14ac:dyDescent="0.25">
      <c r="A410" s="6">
        <f t="shared" si="13"/>
        <v>1988</v>
      </c>
      <c r="B410" s="3" t="s">
        <v>16</v>
      </c>
      <c r="C410" s="3" t="str">
        <f t="shared" si="12"/>
        <v>Junio 1988</v>
      </c>
      <c r="D410" s="20">
        <v>4.2687827545433601</v>
      </c>
      <c r="E410" s="7">
        <v>2.4E-2</v>
      </c>
      <c r="F410" s="7">
        <v>0.19350000000000001</v>
      </c>
      <c r="G410" s="17">
        <v>0.30270000000000002</v>
      </c>
    </row>
    <row r="411" spans="1:7" ht="10.5" thickBot="1" x14ac:dyDescent="0.25">
      <c r="A411" s="6">
        <f t="shared" si="13"/>
        <v>1988</v>
      </c>
      <c r="B411" s="3" t="s">
        <v>5</v>
      </c>
      <c r="C411" s="3" t="str">
        <f t="shared" si="12"/>
        <v>Julio 1988</v>
      </c>
      <c r="D411" s="20">
        <v>4.3306282212023897</v>
      </c>
      <c r="E411" s="7">
        <v>1.4500000000000001E-2</v>
      </c>
      <c r="F411" s="7">
        <v>0.2107</v>
      </c>
      <c r="G411" s="17">
        <v>0.30259999999999998</v>
      </c>
    </row>
    <row r="412" spans="1:7" ht="10.5" thickBot="1" x14ac:dyDescent="0.25">
      <c r="A412" s="6">
        <f t="shared" si="13"/>
        <v>1988</v>
      </c>
      <c r="B412" s="3" t="s">
        <v>6</v>
      </c>
      <c r="C412" s="3" t="str">
        <f t="shared" si="12"/>
        <v>Agosto 1988</v>
      </c>
      <c r="D412" s="20">
        <v>4.3229669887292603</v>
      </c>
      <c r="E412" s="7">
        <v>-1.8E-3</v>
      </c>
      <c r="F412" s="7">
        <v>0.20860000000000001</v>
      </c>
      <c r="G412" s="17">
        <v>0.29649999999999999</v>
      </c>
    </row>
    <row r="413" spans="1:7" ht="10.5" thickBot="1" x14ac:dyDescent="0.25">
      <c r="A413" s="6">
        <f t="shared" si="13"/>
        <v>1988</v>
      </c>
      <c r="B413" s="3" t="s">
        <v>7</v>
      </c>
      <c r="C413" s="3" t="str">
        <f t="shared" si="12"/>
        <v>Septiembre 1988</v>
      </c>
      <c r="D413" s="20">
        <v>4.3535567767335497</v>
      </c>
      <c r="E413" s="7">
        <v>7.1000000000000004E-3</v>
      </c>
      <c r="F413" s="7">
        <v>0.2172</v>
      </c>
      <c r="G413" s="17">
        <v>0.28999999999999998</v>
      </c>
    </row>
    <row r="414" spans="1:7" ht="10.5" thickBot="1" x14ac:dyDescent="0.25">
      <c r="A414" s="6">
        <f t="shared" si="13"/>
        <v>1988</v>
      </c>
      <c r="B414" s="3" t="s">
        <v>8</v>
      </c>
      <c r="C414" s="3" t="str">
        <f t="shared" si="12"/>
        <v>Octubre 1988</v>
      </c>
      <c r="D414" s="20">
        <v>4.4216758546779804</v>
      </c>
      <c r="E414" s="7">
        <v>1.5599999999999999E-2</v>
      </c>
      <c r="F414" s="7">
        <v>0.23619999999999999</v>
      </c>
      <c r="G414" s="17">
        <v>0.28589999999999999</v>
      </c>
    </row>
    <row r="415" spans="1:7" ht="10.5" thickBot="1" x14ac:dyDescent="0.25">
      <c r="A415" s="6">
        <f t="shared" si="13"/>
        <v>1988</v>
      </c>
      <c r="B415" s="3" t="s">
        <v>9</v>
      </c>
      <c r="C415" s="3" t="str">
        <f t="shared" si="12"/>
        <v>Noviembre 1988</v>
      </c>
      <c r="D415" s="20">
        <v>4.4829657144630399</v>
      </c>
      <c r="E415" s="7">
        <v>1.3899999999999999E-2</v>
      </c>
      <c r="F415" s="7">
        <v>0.25330000000000003</v>
      </c>
      <c r="G415" s="17">
        <v>0.27679999999999999</v>
      </c>
    </row>
    <row r="416" spans="1:7" ht="10.5" thickBot="1" x14ac:dyDescent="0.25">
      <c r="A416" s="8">
        <f t="shared" si="13"/>
        <v>1988</v>
      </c>
      <c r="B416" s="3" t="s">
        <v>10</v>
      </c>
      <c r="C416" s="3" t="str">
        <f t="shared" si="12"/>
        <v>Diciembre 1988</v>
      </c>
      <c r="D416" s="20">
        <v>4.5827843981625103</v>
      </c>
      <c r="E416" s="7">
        <v>2.23E-2</v>
      </c>
      <c r="F416" s="7">
        <v>0.28120000000000001</v>
      </c>
      <c r="G416" s="17">
        <v>0.28120000000000001</v>
      </c>
    </row>
    <row r="417" spans="1:7" ht="10.5" thickBot="1" x14ac:dyDescent="0.25">
      <c r="A417" s="9">
        <f t="shared" si="13"/>
        <v>1989</v>
      </c>
      <c r="B417" s="10" t="s">
        <v>11</v>
      </c>
      <c r="C417" s="10" t="str">
        <f t="shared" si="12"/>
        <v>Enero 1989</v>
      </c>
      <c r="D417" s="19">
        <v>4.7126191150290904</v>
      </c>
      <c r="E417" s="11">
        <v>2.8299999999999999E-2</v>
      </c>
      <c r="F417" s="11">
        <v>2.8299999999999999E-2</v>
      </c>
      <c r="G417" s="12">
        <v>0.27910000000000001</v>
      </c>
    </row>
    <row r="418" spans="1:7" ht="10.5" thickBot="1" x14ac:dyDescent="0.25">
      <c r="A418" s="13">
        <f t="shared" si="13"/>
        <v>1989</v>
      </c>
      <c r="B418" s="10" t="s">
        <v>12</v>
      </c>
      <c r="C418" s="10" t="str">
        <f t="shared" si="12"/>
        <v>Febrero 1989</v>
      </c>
      <c r="D418" s="19">
        <v>4.8692779175318304</v>
      </c>
      <c r="E418" s="11">
        <v>3.32E-2</v>
      </c>
      <c r="F418" s="11">
        <v>6.25E-2</v>
      </c>
      <c r="G418" s="12">
        <v>0.27029999999999998</v>
      </c>
    </row>
    <row r="419" spans="1:7" ht="10.5" thickBot="1" x14ac:dyDescent="0.25">
      <c r="A419" s="13">
        <f t="shared" si="13"/>
        <v>1989</v>
      </c>
      <c r="B419" s="10" t="s">
        <v>13</v>
      </c>
      <c r="C419" s="10" t="str">
        <f t="shared" si="12"/>
        <v>Marzo 1989</v>
      </c>
      <c r="D419" s="19">
        <v>4.9901943064729997</v>
      </c>
      <c r="E419" s="11">
        <v>2.4799999999999999E-2</v>
      </c>
      <c r="F419" s="11">
        <v>8.8900000000000007E-2</v>
      </c>
      <c r="G419" s="12">
        <v>0.26529999999999998</v>
      </c>
    </row>
    <row r="420" spans="1:7" ht="10.5" thickBot="1" x14ac:dyDescent="0.25">
      <c r="A420" s="13">
        <f t="shared" si="13"/>
        <v>1989</v>
      </c>
      <c r="B420" s="10" t="s">
        <v>14</v>
      </c>
      <c r="C420" s="10" t="str">
        <f t="shared" si="12"/>
        <v>Abril 1989</v>
      </c>
      <c r="D420" s="19">
        <v>5.11660115228677</v>
      </c>
      <c r="E420" s="11">
        <v>2.53E-2</v>
      </c>
      <c r="F420" s="11">
        <v>0.1164</v>
      </c>
      <c r="G420" s="12">
        <v>0.2485</v>
      </c>
    </row>
    <row r="421" spans="1:7" ht="10.5" thickBot="1" x14ac:dyDescent="0.25">
      <c r="A421" s="13">
        <f t="shared" si="13"/>
        <v>1989</v>
      </c>
      <c r="B421" s="10" t="s">
        <v>15</v>
      </c>
      <c r="C421" s="10" t="str">
        <f t="shared" si="12"/>
        <v>Mayo 1989</v>
      </c>
      <c r="D421" s="19">
        <v>5.2062451106071599</v>
      </c>
      <c r="E421" s="11">
        <v>1.7500000000000002E-2</v>
      </c>
      <c r="F421" s="11">
        <v>0.13600000000000001</v>
      </c>
      <c r="G421" s="12">
        <v>0.24879999999999999</v>
      </c>
    </row>
    <row r="422" spans="1:7" ht="10.5" thickBot="1" x14ac:dyDescent="0.25">
      <c r="A422" s="13">
        <f t="shared" si="13"/>
        <v>1989</v>
      </c>
      <c r="B422" s="10" t="s">
        <v>16</v>
      </c>
      <c r="C422" s="10" t="str">
        <f t="shared" si="12"/>
        <v>Junio 1989</v>
      </c>
      <c r="D422" s="19">
        <v>5.2779428272988298</v>
      </c>
      <c r="E422" s="11">
        <v>1.37E-2</v>
      </c>
      <c r="F422" s="11">
        <v>0.15160000000000001</v>
      </c>
      <c r="G422" s="12">
        <v>0.23630000000000001</v>
      </c>
    </row>
    <row r="423" spans="1:7" ht="10.5" thickBot="1" x14ac:dyDescent="0.25">
      <c r="A423" s="13">
        <f t="shared" si="13"/>
        <v>1989</v>
      </c>
      <c r="B423" s="10" t="s">
        <v>5</v>
      </c>
      <c r="C423" s="10" t="str">
        <f t="shared" si="12"/>
        <v>Julio 1989</v>
      </c>
      <c r="D423" s="19">
        <v>5.3597315095393396</v>
      </c>
      <c r="E423" s="11">
        <v>1.54E-2</v>
      </c>
      <c r="F423" s="11">
        <v>0.16950000000000001</v>
      </c>
      <c r="G423" s="14">
        <v>0.23760000000000001</v>
      </c>
    </row>
    <row r="424" spans="1:7" ht="10.5" thickBot="1" x14ac:dyDescent="0.25">
      <c r="A424" s="13">
        <f t="shared" si="13"/>
        <v>1989</v>
      </c>
      <c r="B424" s="10" t="s">
        <v>6</v>
      </c>
      <c r="C424" s="10" t="str">
        <f t="shared" si="12"/>
        <v>Agosto 1989</v>
      </c>
      <c r="D424" s="19">
        <v>5.4337389035500401</v>
      </c>
      <c r="E424" s="11">
        <v>1.38E-2</v>
      </c>
      <c r="F424" s="11">
        <v>0.18559999999999999</v>
      </c>
      <c r="G424" s="14">
        <v>0.25690000000000002</v>
      </c>
    </row>
    <row r="425" spans="1:7" ht="10.5" thickBot="1" x14ac:dyDescent="0.25">
      <c r="A425" s="13">
        <f t="shared" si="13"/>
        <v>1989</v>
      </c>
      <c r="B425" s="10" t="s">
        <v>7</v>
      </c>
      <c r="C425" s="10" t="str">
        <f t="shared" si="12"/>
        <v>Septiembre 1989</v>
      </c>
      <c r="D425" s="19">
        <v>5.5095108379845703</v>
      </c>
      <c r="E425" s="11">
        <v>1.3899999999999999E-2</v>
      </c>
      <c r="F425" s="11">
        <v>0.20219999999999999</v>
      </c>
      <c r="G425" s="14">
        <v>0.26550000000000001</v>
      </c>
    </row>
    <row r="426" spans="1:7" ht="10.5" thickBot="1" x14ac:dyDescent="0.25">
      <c r="A426" s="13">
        <f t="shared" si="13"/>
        <v>1989</v>
      </c>
      <c r="B426" s="10" t="s">
        <v>8</v>
      </c>
      <c r="C426" s="10" t="str">
        <f t="shared" si="12"/>
        <v>Octubre 1989</v>
      </c>
      <c r="D426" s="19">
        <v>5.5979493527480004</v>
      </c>
      <c r="E426" s="11">
        <v>1.6E-2</v>
      </c>
      <c r="F426" s="11">
        <v>0.2215</v>
      </c>
      <c r="G426" s="14">
        <v>0.2661</v>
      </c>
    </row>
    <row r="427" spans="1:7" ht="10.5" thickBot="1" x14ac:dyDescent="0.25">
      <c r="A427" s="13">
        <f t="shared" si="13"/>
        <v>1989</v>
      </c>
      <c r="B427" s="10" t="s">
        <v>9</v>
      </c>
      <c r="C427" s="10" t="str">
        <f t="shared" si="12"/>
        <v>Noviembre 1989</v>
      </c>
      <c r="D427" s="19">
        <v>5.6976842766172302</v>
      </c>
      <c r="E427" s="11">
        <v>1.78E-2</v>
      </c>
      <c r="F427" s="11">
        <v>0.2432</v>
      </c>
      <c r="G427" s="14">
        <v>0.27089999999999997</v>
      </c>
    </row>
    <row r="428" spans="1:7" ht="10.5" thickBot="1" x14ac:dyDescent="0.25">
      <c r="A428" s="15">
        <f t="shared" si="13"/>
        <v>1989</v>
      </c>
      <c r="B428" s="10" t="s">
        <v>10</v>
      </c>
      <c r="C428" s="10" t="str">
        <f t="shared" si="12"/>
        <v>Diciembre 1989</v>
      </c>
      <c r="D428" s="19">
        <v>5.7799413159085304</v>
      </c>
      <c r="E428" s="11">
        <v>1.44E-2</v>
      </c>
      <c r="F428" s="11">
        <v>0.26119999999999999</v>
      </c>
      <c r="G428" s="14">
        <v>0.26119999999999999</v>
      </c>
    </row>
    <row r="429" spans="1:7" ht="10.5" thickBot="1" x14ac:dyDescent="0.25">
      <c r="A429" s="16">
        <f t="shared" si="13"/>
        <v>1990</v>
      </c>
      <c r="B429" s="3" t="s">
        <v>11</v>
      </c>
      <c r="C429" s="3" t="str">
        <f t="shared" si="12"/>
        <v>Enero 1990</v>
      </c>
      <c r="D429" s="20">
        <v>5.9708188010609504</v>
      </c>
      <c r="E429" s="7">
        <v>3.3000000000000002E-2</v>
      </c>
      <c r="F429" s="7">
        <v>3.3000000000000002E-2</v>
      </c>
      <c r="G429" s="17">
        <v>0.26690000000000003</v>
      </c>
    </row>
    <row r="430" spans="1:7" ht="10.5" thickBot="1" x14ac:dyDescent="0.25">
      <c r="A430" s="6">
        <f t="shared" si="13"/>
        <v>1990</v>
      </c>
      <c r="B430" s="3" t="s">
        <v>12</v>
      </c>
      <c r="C430" s="3" t="str">
        <f t="shared" si="12"/>
        <v>Febrero 1990</v>
      </c>
      <c r="D430" s="20">
        <v>6.18991218102878</v>
      </c>
      <c r="E430" s="7">
        <v>3.6600000000000001E-2</v>
      </c>
      <c r="F430" s="7">
        <v>7.0900000000000005E-2</v>
      </c>
      <c r="G430" s="17">
        <v>0.2712</v>
      </c>
    </row>
    <row r="431" spans="1:7" ht="10.5" thickBot="1" x14ac:dyDescent="0.25">
      <c r="A431" s="6">
        <f t="shared" si="13"/>
        <v>1990</v>
      </c>
      <c r="B431" s="3" t="s">
        <v>13</v>
      </c>
      <c r="C431" s="3" t="str">
        <f t="shared" si="12"/>
        <v>Marzo 1990</v>
      </c>
      <c r="D431" s="20">
        <v>6.3693878592890103</v>
      </c>
      <c r="E431" s="7">
        <v>2.8899999999999999E-2</v>
      </c>
      <c r="F431" s="7">
        <v>0.1019</v>
      </c>
      <c r="G431" s="17">
        <v>0.27629999999999999</v>
      </c>
    </row>
    <row r="432" spans="1:7" ht="10.5" thickBot="1" x14ac:dyDescent="0.25">
      <c r="A432" s="6">
        <f t="shared" si="13"/>
        <v>1990</v>
      </c>
      <c r="B432" s="3" t="s">
        <v>14</v>
      </c>
      <c r="C432" s="3" t="str">
        <f t="shared" si="12"/>
        <v>Abril 1990</v>
      </c>
      <c r="D432" s="20">
        <v>6.5485836401165098</v>
      </c>
      <c r="E432" s="7">
        <v>2.81E-2</v>
      </c>
      <c r="F432" s="7">
        <v>0.13289999999999999</v>
      </c>
      <c r="G432" s="17">
        <v>0.27979999999999999</v>
      </c>
    </row>
    <row r="433" spans="1:7" ht="10.5" thickBot="1" x14ac:dyDescent="0.25">
      <c r="A433" s="6">
        <f t="shared" si="13"/>
        <v>1990</v>
      </c>
      <c r="B433" s="3" t="s">
        <v>15</v>
      </c>
      <c r="C433" s="3" t="str">
        <f t="shared" si="12"/>
        <v>Mayo 1990</v>
      </c>
      <c r="D433" s="20">
        <v>6.6765672647346497</v>
      </c>
      <c r="E433" s="7">
        <v>1.95E-2</v>
      </c>
      <c r="F433" s="7">
        <v>0.15509999999999999</v>
      </c>
      <c r="G433" s="17">
        <v>0.28239999999999998</v>
      </c>
    </row>
    <row r="434" spans="1:7" ht="10.5" thickBot="1" x14ac:dyDescent="0.25">
      <c r="A434" s="6">
        <f t="shared" si="13"/>
        <v>1990</v>
      </c>
      <c r="B434" s="3" t="s">
        <v>16</v>
      </c>
      <c r="C434" s="3" t="str">
        <f t="shared" si="12"/>
        <v>Junio 1990</v>
      </c>
      <c r="D434" s="20">
        <v>6.8071265041328504</v>
      </c>
      <c r="E434" s="7">
        <v>1.95E-2</v>
      </c>
      <c r="F434" s="7">
        <v>0.1777</v>
      </c>
      <c r="G434" s="17">
        <v>0.28970000000000001</v>
      </c>
    </row>
    <row r="435" spans="1:7" ht="10.5" thickBot="1" x14ac:dyDescent="0.25">
      <c r="A435" s="6">
        <f t="shared" si="13"/>
        <v>1990</v>
      </c>
      <c r="B435" s="3" t="s">
        <v>5</v>
      </c>
      <c r="C435" s="3" t="str">
        <f t="shared" si="12"/>
        <v>Julio 1990</v>
      </c>
      <c r="D435" s="20">
        <v>6.8994647369928002</v>
      </c>
      <c r="E435" s="7">
        <v>1.35E-2</v>
      </c>
      <c r="F435" s="7">
        <v>0.19359999999999999</v>
      </c>
      <c r="G435" s="17">
        <v>0.28720000000000001</v>
      </c>
    </row>
    <row r="436" spans="1:7" ht="10.5" thickBot="1" x14ac:dyDescent="0.25">
      <c r="A436" s="6">
        <f t="shared" si="13"/>
        <v>1990</v>
      </c>
      <c r="B436" s="3" t="s">
        <v>6</v>
      </c>
      <c r="C436" s="3" t="str">
        <f t="shared" si="12"/>
        <v>Agosto 1990</v>
      </c>
      <c r="D436" s="20">
        <v>7.00894302311535</v>
      </c>
      <c r="E436" s="7">
        <v>1.5800000000000002E-2</v>
      </c>
      <c r="F436" s="7">
        <v>0.21260000000000001</v>
      </c>
      <c r="G436" s="17">
        <v>0.2898</v>
      </c>
    </row>
    <row r="437" spans="1:7" ht="10.5" thickBot="1" x14ac:dyDescent="0.25">
      <c r="A437" s="6">
        <f t="shared" si="13"/>
        <v>1990</v>
      </c>
      <c r="B437" s="3" t="s">
        <v>7</v>
      </c>
      <c r="C437" s="3" t="str">
        <f t="shared" si="12"/>
        <v>Septiembre 1990</v>
      </c>
      <c r="D437" s="20">
        <v>7.1757060531400496</v>
      </c>
      <c r="E437" s="7">
        <v>2.3699999999999999E-2</v>
      </c>
      <c r="F437" s="7">
        <v>0.2414</v>
      </c>
      <c r="G437" s="17">
        <v>0.3024</v>
      </c>
    </row>
    <row r="438" spans="1:7" ht="10.5" thickBot="1" x14ac:dyDescent="0.25">
      <c r="A438" s="6">
        <f t="shared" si="13"/>
        <v>1990</v>
      </c>
      <c r="B438" s="3" t="s">
        <v>8</v>
      </c>
      <c r="C438" s="3" t="str">
        <f t="shared" si="12"/>
        <v>Octubre 1990</v>
      </c>
      <c r="D438" s="20">
        <v>7.3139502569632899</v>
      </c>
      <c r="E438" s="7">
        <v>1.9199999999999998E-2</v>
      </c>
      <c r="F438" s="7">
        <v>0.26540000000000002</v>
      </c>
      <c r="G438" s="17">
        <v>0.30649999999999999</v>
      </c>
    </row>
    <row r="439" spans="1:7" ht="10.5" thickBot="1" x14ac:dyDescent="0.25">
      <c r="A439" s="6">
        <f t="shared" si="13"/>
        <v>1990</v>
      </c>
      <c r="B439" s="3" t="s">
        <v>9</v>
      </c>
      <c r="C439" s="3" t="str">
        <f t="shared" si="12"/>
        <v>Noviembre 1990</v>
      </c>
      <c r="D439" s="20">
        <v>7.4625653237681098</v>
      </c>
      <c r="E439" s="7">
        <v>2.0299999999999999E-2</v>
      </c>
      <c r="F439" s="7">
        <v>0.29110000000000003</v>
      </c>
      <c r="G439" s="17">
        <v>0.30969999999999998</v>
      </c>
    </row>
    <row r="440" spans="1:7" ht="10.5" thickBot="1" x14ac:dyDescent="0.25">
      <c r="A440" s="8">
        <f t="shared" si="13"/>
        <v>1990</v>
      </c>
      <c r="B440" s="3" t="s">
        <v>10</v>
      </c>
      <c r="C440" s="3" t="str">
        <f t="shared" si="12"/>
        <v>Diciembre 1990</v>
      </c>
      <c r="D440" s="20">
        <v>7.6507757563257899</v>
      </c>
      <c r="E440" s="7">
        <v>2.52E-2</v>
      </c>
      <c r="F440" s="7">
        <v>0.3236</v>
      </c>
      <c r="G440" s="17">
        <v>0.3236</v>
      </c>
    </row>
    <row r="441" spans="1:7" ht="10.5" thickBot="1" x14ac:dyDescent="0.25">
      <c r="A441" s="9">
        <f t="shared" si="13"/>
        <v>1991</v>
      </c>
      <c r="B441" s="10" t="s">
        <v>11</v>
      </c>
      <c r="C441" s="10" t="str">
        <f t="shared" si="12"/>
        <v>Enero 1991</v>
      </c>
      <c r="D441" s="19">
        <v>7.8805883005692996</v>
      </c>
      <c r="E441" s="11">
        <v>0.03</v>
      </c>
      <c r="F441" s="11">
        <v>0.03</v>
      </c>
      <c r="G441" s="12">
        <v>0.31979999999999997</v>
      </c>
    </row>
    <row r="442" spans="1:7" ht="10.5" thickBot="1" x14ac:dyDescent="0.25">
      <c r="A442" s="13">
        <f t="shared" si="13"/>
        <v>1991</v>
      </c>
      <c r="B442" s="10" t="s">
        <v>12</v>
      </c>
      <c r="C442" s="10" t="str">
        <f t="shared" si="12"/>
        <v>Febrero 1991</v>
      </c>
      <c r="D442" s="19">
        <v>8.1495292495120601</v>
      </c>
      <c r="E442" s="11">
        <v>3.4099999999999998E-2</v>
      </c>
      <c r="F442" s="11">
        <v>6.5100000000000005E-2</v>
      </c>
      <c r="G442" s="12">
        <v>0.3165</v>
      </c>
    </row>
    <row r="443" spans="1:7" ht="10.5" thickBot="1" x14ac:dyDescent="0.25">
      <c r="A443" s="13">
        <f t="shared" si="13"/>
        <v>1991</v>
      </c>
      <c r="B443" s="10" t="s">
        <v>13</v>
      </c>
      <c r="C443" s="10" t="str">
        <f t="shared" si="12"/>
        <v>Marzo 1991</v>
      </c>
      <c r="D443" s="19">
        <v>8.3556810377083508</v>
      </c>
      <c r="E443" s="11">
        <v>2.52E-2</v>
      </c>
      <c r="F443" s="11">
        <v>9.2100000000000001E-2</v>
      </c>
      <c r="G443" s="12">
        <v>0.31180000000000002</v>
      </c>
    </row>
    <row r="444" spans="1:7" ht="10.5" thickBot="1" x14ac:dyDescent="0.25">
      <c r="A444" s="13">
        <f t="shared" si="13"/>
        <v>1991</v>
      </c>
      <c r="B444" s="10" t="s">
        <v>14</v>
      </c>
      <c r="C444" s="10" t="str">
        <f t="shared" si="12"/>
        <v>Abril 1991</v>
      </c>
      <c r="D444" s="19">
        <v>8.5896648214981006</v>
      </c>
      <c r="E444" s="11">
        <v>2.8000000000000001E-2</v>
      </c>
      <c r="F444" s="11">
        <v>0.1227</v>
      </c>
      <c r="G444" s="12">
        <v>0.31159999999999999</v>
      </c>
    </row>
    <row r="445" spans="1:7" ht="10.5" thickBot="1" x14ac:dyDescent="0.25">
      <c r="A445" s="13">
        <f t="shared" si="13"/>
        <v>1991</v>
      </c>
      <c r="B445" s="10" t="s">
        <v>15</v>
      </c>
      <c r="C445" s="10" t="str">
        <f t="shared" si="12"/>
        <v>Mayo 1991</v>
      </c>
      <c r="D445" s="19">
        <v>8.7790255557244805</v>
      </c>
      <c r="E445" s="11">
        <v>2.1999999999999999E-2</v>
      </c>
      <c r="F445" s="11">
        <v>0.1474</v>
      </c>
      <c r="G445" s="12">
        <v>0.31490000000000001</v>
      </c>
    </row>
    <row r="446" spans="1:7" ht="10.5" thickBot="1" x14ac:dyDescent="0.25">
      <c r="A446" s="13">
        <f t="shared" si="13"/>
        <v>1991</v>
      </c>
      <c r="B446" s="10" t="s">
        <v>16</v>
      </c>
      <c r="C446" s="10" t="str">
        <f t="shared" si="12"/>
        <v>Junio 1991</v>
      </c>
      <c r="D446" s="19">
        <v>8.9179565901557307</v>
      </c>
      <c r="E446" s="11">
        <v>1.5800000000000002E-2</v>
      </c>
      <c r="F446" s="11">
        <v>0.1656</v>
      </c>
      <c r="G446" s="12">
        <v>0.31</v>
      </c>
    </row>
    <row r="447" spans="1:7" ht="10.5" thickBot="1" x14ac:dyDescent="0.25">
      <c r="A447" s="13">
        <f t="shared" si="13"/>
        <v>1991</v>
      </c>
      <c r="B447" s="10" t="s">
        <v>5</v>
      </c>
      <c r="C447" s="10" t="str">
        <f t="shared" si="12"/>
        <v>Julio 1991</v>
      </c>
      <c r="D447" s="19">
        <v>9.0800360496725308</v>
      </c>
      <c r="E447" s="11">
        <v>1.8100000000000002E-2</v>
      </c>
      <c r="F447" s="11">
        <v>0.18679999999999999</v>
      </c>
      <c r="G447" s="14">
        <v>0.316</v>
      </c>
    </row>
    <row r="448" spans="1:7" ht="10.5" thickBot="1" x14ac:dyDescent="0.25">
      <c r="A448" s="13">
        <f t="shared" si="13"/>
        <v>1991</v>
      </c>
      <c r="B448" s="10" t="s">
        <v>6</v>
      </c>
      <c r="C448" s="10" t="str">
        <f t="shared" si="12"/>
        <v>Agosto 1991</v>
      </c>
      <c r="D448" s="19">
        <v>9.1957516511540405</v>
      </c>
      <c r="E448" s="11">
        <v>1.2699999999999999E-2</v>
      </c>
      <c r="F448" s="11">
        <v>0.2019</v>
      </c>
      <c r="G448" s="14">
        <v>0.312</v>
      </c>
    </row>
    <row r="449" spans="1:7" ht="10.5" thickBot="1" x14ac:dyDescent="0.25">
      <c r="A449" s="13">
        <f t="shared" si="13"/>
        <v>1991</v>
      </c>
      <c r="B449" s="10" t="s">
        <v>7</v>
      </c>
      <c r="C449" s="10" t="str">
        <f t="shared" si="12"/>
        <v>Septiembre 1991</v>
      </c>
      <c r="D449" s="19">
        <v>9.3294176822557695</v>
      </c>
      <c r="E449" s="11">
        <v>1.4500000000000001E-2</v>
      </c>
      <c r="F449" s="11">
        <v>0.21940000000000001</v>
      </c>
      <c r="G449" s="14">
        <v>0.30009999999999998</v>
      </c>
    </row>
    <row r="450" spans="1:7" ht="10.5" thickBot="1" x14ac:dyDescent="0.25">
      <c r="A450" s="13">
        <f t="shared" si="13"/>
        <v>1991</v>
      </c>
      <c r="B450" s="10" t="s">
        <v>8</v>
      </c>
      <c r="C450" s="10" t="str">
        <f t="shared" si="12"/>
        <v>Octubre 1991</v>
      </c>
      <c r="D450" s="19">
        <v>9.4533452370942701</v>
      </c>
      <c r="E450" s="11">
        <v>1.32E-2</v>
      </c>
      <c r="F450" s="11">
        <v>0.2356</v>
      </c>
      <c r="G450" s="14">
        <v>0.29249999999999998</v>
      </c>
    </row>
    <row r="451" spans="1:7" ht="10.5" thickBot="1" x14ac:dyDescent="0.25">
      <c r="A451" s="13">
        <f t="shared" si="13"/>
        <v>1991</v>
      </c>
      <c r="B451" s="10" t="s">
        <v>9</v>
      </c>
      <c r="C451" s="10" t="str">
        <f t="shared" si="12"/>
        <v>Noviembre 1991</v>
      </c>
      <c r="D451" s="19">
        <v>9.5687488332081099</v>
      </c>
      <c r="E451" s="11">
        <v>1.2200000000000001E-2</v>
      </c>
      <c r="F451" s="11">
        <v>0.25059999999999999</v>
      </c>
      <c r="G451" s="14">
        <v>0.28220000000000001</v>
      </c>
    </row>
    <row r="452" spans="1:7" ht="10.5" thickBot="1" x14ac:dyDescent="0.25">
      <c r="A452" s="15">
        <f t="shared" si="13"/>
        <v>1991</v>
      </c>
      <c r="B452" s="10" t="s">
        <v>10</v>
      </c>
      <c r="C452" s="10" t="str">
        <f t="shared" ref="C452:C515" si="14">B452&amp;" "&amp;A452</f>
        <v>Diciembre 1991</v>
      </c>
      <c r="D452" s="19">
        <v>9.7030018811201408</v>
      </c>
      <c r="E452" s="11">
        <v>1.4E-2</v>
      </c>
      <c r="F452" s="11">
        <v>0.26819999999999999</v>
      </c>
      <c r="G452" s="14">
        <v>0.26819999999999999</v>
      </c>
    </row>
    <row r="453" spans="1:7" ht="10.5" thickBot="1" x14ac:dyDescent="0.25">
      <c r="A453" s="16">
        <f t="shared" si="13"/>
        <v>1992</v>
      </c>
      <c r="B453" s="3" t="s">
        <v>11</v>
      </c>
      <c r="C453" s="3" t="str">
        <f t="shared" si="14"/>
        <v>Enero 1992</v>
      </c>
      <c r="D453" s="20">
        <v>10.042521655022201</v>
      </c>
      <c r="E453" s="7">
        <v>3.49E-2</v>
      </c>
      <c r="F453" s="7">
        <v>3.49E-2</v>
      </c>
      <c r="G453" s="17">
        <v>0.27429999999999999</v>
      </c>
    </row>
    <row r="454" spans="1:7" ht="10.5" thickBot="1" x14ac:dyDescent="0.25">
      <c r="A454" s="6">
        <f t="shared" si="13"/>
        <v>1992</v>
      </c>
      <c r="B454" s="3" t="s">
        <v>12</v>
      </c>
      <c r="C454" s="3" t="str">
        <f t="shared" si="14"/>
        <v>Febrero 1992</v>
      </c>
      <c r="D454" s="20">
        <v>10.3784767501487</v>
      </c>
      <c r="E454" s="7">
        <v>3.3399999999999999E-2</v>
      </c>
      <c r="F454" s="7">
        <v>6.9599999999999995E-2</v>
      </c>
      <c r="G454" s="17">
        <v>0.27350000000000002</v>
      </c>
    </row>
    <row r="455" spans="1:7" ht="10.5" thickBot="1" x14ac:dyDescent="0.25">
      <c r="A455" s="6">
        <f t="shared" si="13"/>
        <v>1992</v>
      </c>
      <c r="B455" s="3" t="s">
        <v>13</v>
      </c>
      <c r="C455" s="3" t="str">
        <f t="shared" si="14"/>
        <v>Marzo 1992</v>
      </c>
      <c r="D455" s="20">
        <v>10.6188437310018</v>
      </c>
      <c r="E455" s="7">
        <v>2.3099999999999999E-2</v>
      </c>
      <c r="F455" s="7">
        <v>9.4299999999999995E-2</v>
      </c>
      <c r="G455" s="17">
        <v>0.27079999999999999</v>
      </c>
    </row>
    <row r="456" spans="1:7" ht="10.5" thickBot="1" x14ac:dyDescent="0.25">
      <c r="A456" s="6">
        <f t="shared" si="13"/>
        <v>1992</v>
      </c>
      <c r="B456" s="3" t="s">
        <v>14</v>
      </c>
      <c r="C456" s="3" t="str">
        <f t="shared" si="14"/>
        <v>Abril 1992</v>
      </c>
      <c r="D456" s="20">
        <v>10.9219265827498</v>
      </c>
      <c r="E456" s="7">
        <v>2.8500000000000001E-2</v>
      </c>
      <c r="F456" s="7">
        <v>0.12559999999999999</v>
      </c>
      <c r="G456" s="17">
        <v>0.27150000000000002</v>
      </c>
    </row>
    <row r="457" spans="1:7" ht="10.5" thickBot="1" x14ac:dyDescent="0.25">
      <c r="A457" s="6">
        <f t="shared" si="13"/>
        <v>1992</v>
      </c>
      <c r="B457" s="3" t="s">
        <v>15</v>
      </c>
      <c r="C457" s="3" t="str">
        <f t="shared" si="14"/>
        <v>Mayo 1992</v>
      </c>
      <c r="D457" s="20">
        <v>11.176371497071401</v>
      </c>
      <c r="E457" s="7">
        <v>2.3199999999999998E-2</v>
      </c>
      <c r="F457" s="7">
        <v>0.15179999999999999</v>
      </c>
      <c r="G457" s="17">
        <v>0.27300000000000002</v>
      </c>
    </row>
    <row r="458" spans="1:7" ht="10.5" thickBot="1" x14ac:dyDescent="0.25">
      <c r="A458" s="6">
        <f t="shared" si="13"/>
        <v>1992</v>
      </c>
      <c r="B458" s="3" t="s">
        <v>16</v>
      </c>
      <c r="C458" s="3" t="str">
        <f t="shared" si="14"/>
        <v>Junio 1992</v>
      </c>
      <c r="D458" s="20">
        <v>11.4272245106726</v>
      </c>
      <c r="E458" s="7">
        <v>2.24E-2</v>
      </c>
      <c r="F458" s="7">
        <v>0.17760000000000001</v>
      </c>
      <c r="G458" s="17">
        <v>0.28129999999999999</v>
      </c>
    </row>
    <row r="459" spans="1:7" ht="10.5" thickBot="1" x14ac:dyDescent="0.25">
      <c r="A459" s="6">
        <f t="shared" si="13"/>
        <v>1992</v>
      </c>
      <c r="B459" s="3" t="s">
        <v>5</v>
      </c>
      <c r="C459" s="3" t="str">
        <f t="shared" si="14"/>
        <v>Julio 1992</v>
      </c>
      <c r="D459" s="20">
        <v>11.6557220255813</v>
      </c>
      <c r="E459" s="7">
        <v>1.9900000000000001E-2</v>
      </c>
      <c r="F459" s="7">
        <v>0.20119999999999999</v>
      </c>
      <c r="G459" s="17">
        <v>0.28360000000000002</v>
      </c>
    </row>
    <row r="460" spans="1:7" ht="10.5" thickBot="1" x14ac:dyDescent="0.25">
      <c r="A460" s="6">
        <f t="shared" si="13"/>
        <v>1992</v>
      </c>
      <c r="B460" s="3" t="s">
        <v>6</v>
      </c>
      <c r="C460" s="3" t="str">
        <f t="shared" si="14"/>
        <v>Agosto 1992</v>
      </c>
      <c r="D460" s="20">
        <v>11.7435323416179</v>
      </c>
      <c r="E460" s="7">
        <v>7.4999999999999997E-3</v>
      </c>
      <c r="F460" s="7">
        <v>0.2102</v>
      </c>
      <c r="G460" s="17">
        <v>0.27700000000000002</v>
      </c>
    </row>
    <row r="461" spans="1:7" ht="10.5" thickBot="1" x14ac:dyDescent="0.25">
      <c r="A461" s="6">
        <f t="shared" si="13"/>
        <v>1992</v>
      </c>
      <c r="B461" s="3" t="s">
        <v>7</v>
      </c>
      <c r="C461" s="3" t="str">
        <f t="shared" si="14"/>
        <v>Septiembre 1992</v>
      </c>
      <c r="D461" s="20">
        <v>11.841012730056301</v>
      </c>
      <c r="E461" s="7">
        <v>8.3000000000000001E-3</v>
      </c>
      <c r="F461" s="7">
        <v>0.2203</v>
      </c>
      <c r="G461" s="17">
        <v>0.26919999999999999</v>
      </c>
    </row>
    <row r="462" spans="1:7" ht="10.5" thickBot="1" x14ac:dyDescent="0.25">
      <c r="A462" s="6">
        <f t="shared" si="13"/>
        <v>1992</v>
      </c>
      <c r="B462" s="3" t="s">
        <v>8</v>
      </c>
      <c r="C462" s="3" t="str">
        <f t="shared" si="14"/>
        <v>Octubre 1992</v>
      </c>
      <c r="D462" s="20">
        <v>11.9416648240667</v>
      </c>
      <c r="E462" s="7">
        <v>8.5000000000000006E-3</v>
      </c>
      <c r="F462" s="7">
        <v>0.23069999999999999</v>
      </c>
      <c r="G462" s="17">
        <v>0.26319999999999999</v>
      </c>
    </row>
    <row r="463" spans="1:7" ht="10.5" thickBot="1" x14ac:dyDescent="0.25">
      <c r="A463" s="6">
        <f t="shared" si="13"/>
        <v>1992</v>
      </c>
      <c r="B463" s="3" t="s">
        <v>9</v>
      </c>
      <c r="C463" s="3" t="str">
        <f t="shared" si="14"/>
        <v>Noviembre 1992</v>
      </c>
      <c r="D463" s="20">
        <v>12.0286368438023</v>
      </c>
      <c r="E463" s="7">
        <v>7.1999999999999998E-3</v>
      </c>
      <c r="F463" s="7">
        <v>0.23960000000000001</v>
      </c>
      <c r="G463" s="17">
        <v>0.25700000000000001</v>
      </c>
    </row>
    <row r="464" spans="1:7" ht="10.5" thickBot="1" x14ac:dyDescent="0.25">
      <c r="A464" s="8">
        <f t="shared" si="13"/>
        <v>1992</v>
      </c>
      <c r="B464" s="3" t="s">
        <v>10</v>
      </c>
      <c r="C464" s="3" t="str">
        <f t="shared" si="14"/>
        <v>Diciembre 1992</v>
      </c>
      <c r="D464" s="20">
        <v>12.141734950588599</v>
      </c>
      <c r="E464" s="7">
        <v>9.4000000000000004E-3</v>
      </c>
      <c r="F464" s="7">
        <v>0.25130000000000002</v>
      </c>
      <c r="G464" s="17">
        <v>0.25130000000000002</v>
      </c>
    </row>
    <row r="465" spans="1:7" ht="10.5" thickBot="1" x14ac:dyDescent="0.25">
      <c r="A465" s="9">
        <f t="shared" si="13"/>
        <v>1993</v>
      </c>
      <c r="B465" s="10" t="s">
        <v>11</v>
      </c>
      <c r="C465" s="10" t="str">
        <f t="shared" si="14"/>
        <v>Enero 1993</v>
      </c>
      <c r="D465" s="19">
        <v>12.535185585190099</v>
      </c>
      <c r="E465" s="11">
        <v>3.2399999999999998E-2</v>
      </c>
      <c r="F465" s="11">
        <v>3.2399999999999998E-2</v>
      </c>
      <c r="G465" s="12">
        <v>0.2482</v>
      </c>
    </row>
    <row r="466" spans="1:7" ht="10.5" thickBot="1" x14ac:dyDescent="0.25">
      <c r="A466" s="13">
        <f t="shared" si="13"/>
        <v>1993</v>
      </c>
      <c r="B466" s="10" t="s">
        <v>12</v>
      </c>
      <c r="C466" s="10" t="str">
        <f t="shared" si="14"/>
        <v>Febrero 1993</v>
      </c>
      <c r="D466" s="19">
        <v>12.943539187588</v>
      </c>
      <c r="E466" s="11">
        <v>3.2500000000000001E-2</v>
      </c>
      <c r="F466" s="11">
        <v>6.6000000000000003E-2</v>
      </c>
      <c r="G466" s="12">
        <v>0.24709999999999999</v>
      </c>
    </row>
    <row r="467" spans="1:7" ht="10.5" thickBot="1" x14ac:dyDescent="0.25">
      <c r="A467" s="13">
        <f t="shared" si="13"/>
        <v>1993</v>
      </c>
      <c r="B467" s="10" t="s">
        <v>13</v>
      </c>
      <c r="C467" s="10" t="str">
        <f t="shared" si="14"/>
        <v>Marzo 1993</v>
      </c>
      <c r="D467" s="19">
        <v>13.1867198007387</v>
      </c>
      <c r="E467" s="11">
        <v>1.8700000000000001E-2</v>
      </c>
      <c r="F467" s="11">
        <v>8.5999999999999993E-2</v>
      </c>
      <c r="G467" s="12">
        <v>0.24179999999999999</v>
      </c>
    </row>
    <row r="468" spans="1:7" ht="10.5" thickBot="1" x14ac:dyDescent="0.25">
      <c r="A468" s="13">
        <f t="shared" si="13"/>
        <v>1993</v>
      </c>
      <c r="B468" s="10" t="s">
        <v>14</v>
      </c>
      <c r="C468" s="10" t="str">
        <f t="shared" si="14"/>
        <v>Abril 1993</v>
      </c>
      <c r="D468" s="19">
        <v>13.442925067492601</v>
      </c>
      <c r="E468" s="11">
        <v>1.9400000000000001E-2</v>
      </c>
      <c r="F468" s="11">
        <v>0.1071</v>
      </c>
      <c r="G468" s="12">
        <v>0.23080000000000001</v>
      </c>
    </row>
    <row r="469" spans="1:7" ht="10.5" thickBot="1" x14ac:dyDescent="0.25">
      <c r="A469" s="13">
        <f t="shared" si="13"/>
        <v>1993</v>
      </c>
      <c r="B469" s="10" t="s">
        <v>15</v>
      </c>
      <c r="C469" s="10" t="str">
        <f t="shared" si="14"/>
        <v>Mayo 1993</v>
      </c>
      <c r="D469" s="19">
        <v>13.659109189356601</v>
      </c>
      <c r="E469" s="11">
        <v>1.6E-2</v>
      </c>
      <c r="F469" s="11">
        <v>0.1249</v>
      </c>
      <c r="G469" s="12">
        <v>0.22209999999999999</v>
      </c>
    </row>
    <row r="470" spans="1:7" ht="10.5" thickBot="1" x14ac:dyDescent="0.25">
      <c r="A470" s="13">
        <f t="shared" ref="A470:A533" si="15">A458+1</f>
        <v>1993</v>
      </c>
      <c r="B470" s="10" t="s">
        <v>16</v>
      </c>
      <c r="C470" s="10" t="str">
        <f t="shared" si="14"/>
        <v>Junio 1993</v>
      </c>
      <c r="D470" s="19">
        <v>13.8706872185556</v>
      </c>
      <c r="E470" s="11">
        <v>1.54E-2</v>
      </c>
      <c r="F470" s="11">
        <v>0.14230000000000001</v>
      </c>
      <c r="G470" s="12">
        <v>0.21379999999999999</v>
      </c>
    </row>
    <row r="471" spans="1:7" ht="10.5" thickBot="1" x14ac:dyDescent="0.25">
      <c r="A471" s="13">
        <f t="shared" si="15"/>
        <v>1993</v>
      </c>
      <c r="B471" s="10" t="s">
        <v>5</v>
      </c>
      <c r="C471" s="10" t="str">
        <f t="shared" si="14"/>
        <v>Julio 1993</v>
      </c>
      <c r="D471" s="19">
        <v>14.041533540304799</v>
      </c>
      <c r="E471" s="11">
        <v>1.23E-2</v>
      </c>
      <c r="F471" s="11">
        <v>0.15640000000000001</v>
      </c>
      <c r="G471" s="14">
        <v>0.2046</v>
      </c>
    </row>
    <row r="472" spans="1:7" ht="10.5" thickBot="1" x14ac:dyDescent="0.25">
      <c r="A472" s="13">
        <f t="shared" si="15"/>
        <v>1993</v>
      </c>
      <c r="B472" s="10" t="s">
        <v>6</v>
      </c>
      <c r="C472" s="10" t="str">
        <f t="shared" si="14"/>
        <v>Agosto 1993</v>
      </c>
      <c r="D472" s="19">
        <v>14.218328205998599</v>
      </c>
      <c r="E472" s="11">
        <v>1.2500000000000001E-2</v>
      </c>
      <c r="F472" s="11">
        <v>0.17100000000000001</v>
      </c>
      <c r="G472" s="14">
        <v>0.2107</v>
      </c>
    </row>
    <row r="473" spans="1:7" ht="10.5" thickBot="1" x14ac:dyDescent="0.25">
      <c r="A473" s="13">
        <f t="shared" si="15"/>
        <v>1993</v>
      </c>
      <c r="B473" s="10" t="s">
        <v>7</v>
      </c>
      <c r="C473" s="10" t="str">
        <f t="shared" si="14"/>
        <v>Septiembre 1993</v>
      </c>
      <c r="D473" s="19">
        <v>14.3785879832033</v>
      </c>
      <c r="E473" s="11">
        <v>1.12E-2</v>
      </c>
      <c r="F473" s="11">
        <v>0.1842</v>
      </c>
      <c r="G473" s="14">
        <v>0.21429999999999999</v>
      </c>
    </row>
    <row r="474" spans="1:7" ht="10.5" thickBot="1" x14ac:dyDescent="0.25">
      <c r="A474" s="13">
        <f t="shared" si="15"/>
        <v>1993</v>
      </c>
      <c r="B474" s="10" t="s">
        <v>8</v>
      </c>
      <c r="C474" s="10" t="str">
        <f t="shared" si="14"/>
        <v>Octubre 1993</v>
      </c>
      <c r="D474" s="19">
        <v>14.532294251689899</v>
      </c>
      <c r="E474" s="11">
        <v>1.06E-2</v>
      </c>
      <c r="F474" s="11">
        <v>0.1968</v>
      </c>
      <c r="G474" s="14">
        <v>0.21690000000000001</v>
      </c>
    </row>
    <row r="475" spans="1:7" ht="10.5" thickBot="1" x14ac:dyDescent="0.25">
      <c r="A475" s="13">
        <f t="shared" si="15"/>
        <v>1993</v>
      </c>
      <c r="B475" s="10" t="s">
        <v>9</v>
      </c>
      <c r="C475" s="10" t="str">
        <f t="shared" si="14"/>
        <v>Noviembre 1993</v>
      </c>
      <c r="D475" s="19">
        <v>14.7197948196862</v>
      </c>
      <c r="E475" s="11">
        <v>1.29E-2</v>
      </c>
      <c r="F475" s="11">
        <v>0.21229999999999999</v>
      </c>
      <c r="G475" s="14">
        <v>0.22370000000000001</v>
      </c>
    </row>
    <row r="476" spans="1:7" ht="10.5" thickBot="1" x14ac:dyDescent="0.25">
      <c r="A476" s="15">
        <f t="shared" si="15"/>
        <v>1993</v>
      </c>
      <c r="B476" s="10" t="s">
        <v>10</v>
      </c>
      <c r="C476" s="10" t="str">
        <f t="shared" si="14"/>
        <v>Diciembre 1993</v>
      </c>
      <c r="D476" s="19">
        <v>14.8867316513587</v>
      </c>
      <c r="E476" s="11">
        <v>1.1299999999999999E-2</v>
      </c>
      <c r="F476" s="11">
        <v>0.22600000000000001</v>
      </c>
      <c r="G476" s="14">
        <v>0.22600000000000001</v>
      </c>
    </row>
    <row r="477" spans="1:7" ht="10.5" thickBot="1" x14ac:dyDescent="0.25">
      <c r="A477" s="16">
        <f t="shared" si="15"/>
        <v>1994</v>
      </c>
      <c r="B477" s="3" t="s">
        <v>11</v>
      </c>
      <c r="C477" s="3" t="str">
        <f t="shared" si="14"/>
        <v>Enero 1994</v>
      </c>
      <c r="D477" s="20">
        <v>15.356210385875499</v>
      </c>
      <c r="E477" s="7">
        <v>3.15E-2</v>
      </c>
      <c r="F477" s="7">
        <v>3.15E-2</v>
      </c>
      <c r="G477" s="17">
        <v>0.22500000000000001</v>
      </c>
    </row>
    <row r="478" spans="1:7" ht="10.5" thickBot="1" x14ac:dyDescent="0.25">
      <c r="A478" s="6">
        <f t="shared" si="15"/>
        <v>1994</v>
      </c>
      <c r="B478" s="3" t="s">
        <v>12</v>
      </c>
      <c r="C478" s="3" t="str">
        <f t="shared" si="14"/>
        <v>Febrero 1994</v>
      </c>
      <c r="D478" s="20">
        <v>15.922248150698101</v>
      </c>
      <c r="E478" s="7">
        <v>3.6799999999999999E-2</v>
      </c>
      <c r="F478" s="7">
        <v>6.9500000000000006E-2</v>
      </c>
      <c r="G478" s="17">
        <v>0.2301</v>
      </c>
    </row>
    <row r="479" spans="1:7" ht="10.5" thickBot="1" x14ac:dyDescent="0.25">
      <c r="A479" s="6">
        <f t="shared" si="15"/>
        <v>1994</v>
      </c>
      <c r="B479" s="3" t="s">
        <v>13</v>
      </c>
      <c r="C479" s="3" t="str">
        <f t="shared" si="14"/>
        <v>Marzo 1994</v>
      </c>
      <c r="D479" s="20">
        <v>16.2749028619799</v>
      </c>
      <c r="E479" s="7">
        <v>2.2100000000000002E-2</v>
      </c>
      <c r="F479" s="7">
        <v>9.3200000000000005E-2</v>
      </c>
      <c r="G479" s="17">
        <v>0.2341</v>
      </c>
    </row>
    <row r="480" spans="1:7" ht="10.5" thickBot="1" x14ac:dyDescent="0.25">
      <c r="A480" s="6">
        <f t="shared" si="15"/>
        <v>1994</v>
      </c>
      <c r="B480" s="3" t="s">
        <v>14</v>
      </c>
      <c r="C480" s="3" t="str">
        <f t="shared" si="14"/>
        <v>Abril 1994</v>
      </c>
      <c r="D480" s="20">
        <v>16.661396544680802</v>
      </c>
      <c r="E480" s="7">
        <v>2.3699999999999999E-2</v>
      </c>
      <c r="F480" s="7">
        <v>0.1192</v>
      </c>
      <c r="G480" s="17">
        <v>0.2394</v>
      </c>
    </row>
    <row r="481" spans="1:7" ht="10.5" thickBot="1" x14ac:dyDescent="0.25">
      <c r="A481" s="6">
        <f t="shared" si="15"/>
        <v>1994</v>
      </c>
      <c r="B481" s="3" t="s">
        <v>15</v>
      </c>
      <c r="C481" s="3" t="str">
        <f t="shared" si="14"/>
        <v>Mayo 1994</v>
      </c>
      <c r="D481" s="20">
        <v>16.919439641710099</v>
      </c>
      <c r="E481" s="7">
        <v>1.54E-2</v>
      </c>
      <c r="F481" s="7">
        <v>0.13650000000000001</v>
      </c>
      <c r="G481" s="17">
        <v>0.23860000000000001</v>
      </c>
    </row>
    <row r="482" spans="1:7" ht="10.5" thickBot="1" x14ac:dyDescent="0.25">
      <c r="A482" s="6">
        <f t="shared" si="15"/>
        <v>1994</v>
      </c>
      <c r="B482" s="3" t="s">
        <v>16</v>
      </c>
      <c r="C482" s="3" t="str">
        <f t="shared" si="14"/>
        <v>Junio 1994</v>
      </c>
      <c r="D482" s="20">
        <v>17.072870898754001</v>
      </c>
      <c r="E482" s="7">
        <v>8.9999999999999993E-3</v>
      </c>
      <c r="F482" s="7">
        <v>0.14680000000000001</v>
      </c>
      <c r="G482" s="17">
        <v>0.23080000000000001</v>
      </c>
    </row>
    <row r="483" spans="1:7" ht="10.5" thickBot="1" x14ac:dyDescent="0.25">
      <c r="A483" s="6">
        <f t="shared" si="15"/>
        <v>1994</v>
      </c>
      <c r="B483" s="3" t="s">
        <v>5</v>
      </c>
      <c r="C483" s="3" t="str">
        <f t="shared" si="14"/>
        <v>Julio 1994</v>
      </c>
      <c r="D483" s="20">
        <v>17.228932912466199</v>
      </c>
      <c r="E483" s="7">
        <v>9.1000000000000004E-3</v>
      </c>
      <c r="F483" s="7">
        <v>0.1573</v>
      </c>
      <c r="G483" s="17">
        <v>0.22689999999999999</v>
      </c>
    </row>
    <row r="484" spans="1:7" ht="10.5" thickBot="1" x14ac:dyDescent="0.25">
      <c r="A484" s="6">
        <f t="shared" si="15"/>
        <v>1994</v>
      </c>
      <c r="B484" s="3" t="s">
        <v>6</v>
      </c>
      <c r="C484" s="3" t="str">
        <f t="shared" si="14"/>
        <v>Agosto 1994</v>
      </c>
      <c r="D484" s="20">
        <v>17.397501664831299</v>
      </c>
      <c r="E484" s="7">
        <v>9.7000000000000003E-3</v>
      </c>
      <c r="F484" s="7">
        <v>0.1686</v>
      </c>
      <c r="G484" s="17">
        <v>0.2235</v>
      </c>
    </row>
    <row r="485" spans="1:7" ht="10.5" thickBot="1" x14ac:dyDescent="0.25">
      <c r="A485" s="6">
        <f t="shared" si="15"/>
        <v>1994</v>
      </c>
      <c r="B485" s="3" t="s">
        <v>7</v>
      </c>
      <c r="C485" s="3" t="str">
        <f t="shared" si="14"/>
        <v>Septiembre 1994</v>
      </c>
      <c r="D485" s="20">
        <v>17.587467563831201</v>
      </c>
      <c r="E485" s="7">
        <v>1.09E-2</v>
      </c>
      <c r="F485" s="7">
        <v>0.18140000000000001</v>
      </c>
      <c r="G485" s="17">
        <v>0.22309999999999999</v>
      </c>
    </row>
    <row r="486" spans="1:7" ht="10.5" thickBot="1" x14ac:dyDescent="0.25">
      <c r="A486" s="6">
        <f t="shared" si="15"/>
        <v>1994</v>
      </c>
      <c r="B486" s="3" t="s">
        <v>8</v>
      </c>
      <c r="C486" s="3" t="str">
        <f t="shared" si="14"/>
        <v>Octubre 1994</v>
      </c>
      <c r="D486" s="20">
        <v>17.783977199569101</v>
      </c>
      <c r="E486" s="7">
        <v>1.11E-2</v>
      </c>
      <c r="F486" s="7">
        <v>0.1946</v>
      </c>
      <c r="G486" s="17">
        <v>0.22370000000000001</v>
      </c>
    </row>
    <row r="487" spans="1:7" ht="10.5" thickBot="1" x14ac:dyDescent="0.25">
      <c r="A487" s="6">
        <f t="shared" si="15"/>
        <v>1994</v>
      </c>
      <c r="B487" s="3" t="s">
        <v>9</v>
      </c>
      <c r="C487" s="3" t="str">
        <f t="shared" si="14"/>
        <v>Noviembre 1994</v>
      </c>
      <c r="D487" s="20">
        <v>17.982338625553901</v>
      </c>
      <c r="E487" s="7">
        <v>1.11E-2</v>
      </c>
      <c r="F487" s="7">
        <v>0.2079</v>
      </c>
      <c r="G487" s="17">
        <v>0.22159999999999999</v>
      </c>
    </row>
    <row r="488" spans="1:7" ht="10.5" thickBot="1" x14ac:dyDescent="0.25">
      <c r="A488" s="8">
        <f t="shared" si="15"/>
        <v>1994</v>
      </c>
      <c r="B488" s="3" t="s">
        <v>10</v>
      </c>
      <c r="C488" s="3" t="str">
        <f t="shared" si="14"/>
        <v>Diciembre 1994</v>
      </c>
      <c r="D488" s="20">
        <v>18.250513870048501</v>
      </c>
      <c r="E488" s="7">
        <v>1.49E-2</v>
      </c>
      <c r="F488" s="7">
        <v>0.22589999999999999</v>
      </c>
      <c r="G488" s="17">
        <v>0.22589999999999999</v>
      </c>
    </row>
    <row r="489" spans="1:7" ht="10.5" thickBot="1" x14ac:dyDescent="0.25">
      <c r="A489" s="9">
        <f t="shared" si="15"/>
        <v>1995</v>
      </c>
      <c r="B489" s="10" t="s">
        <v>11</v>
      </c>
      <c r="C489" s="10" t="str">
        <f t="shared" si="14"/>
        <v>Enero 1995</v>
      </c>
      <c r="D489" s="19">
        <v>18.5879989780742</v>
      </c>
      <c r="E489" s="11">
        <v>1.84E-2</v>
      </c>
      <c r="F489" s="11">
        <v>1.84E-2</v>
      </c>
      <c r="G489" s="12">
        <v>0.2104</v>
      </c>
    </row>
    <row r="490" spans="1:7" ht="10.5" thickBot="1" x14ac:dyDescent="0.25">
      <c r="A490" s="13">
        <f t="shared" si="15"/>
        <v>1995</v>
      </c>
      <c r="B490" s="10" t="s">
        <v>12</v>
      </c>
      <c r="C490" s="10" t="str">
        <f t="shared" si="14"/>
        <v>Febrero 1995</v>
      </c>
      <c r="D490" s="19">
        <v>19.243717695142202</v>
      </c>
      <c r="E490" s="11">
        <v>3.5200000000000002E-2</v>
      </c>
      <c r="F490" s="11">
        <v>5.4399999999999997E-2</v>
      </c>
      <c r="G490" s="12">
        <v>0.20860000000000001</v>
      </c>
    </row>
    <row r="491" spans="1:7" ht="10.5" thickBot="1" x14ac:dyDescent="0.25">
      <c r="A491" s="13">
        <f t="shared" si="15"/>
        <v>1995</v>
      </c>
      <c r="B491" s="10" t="s">
        <v>13</v>
      </c>
      <c r="C491" s="10" t="str">
        <f t="shared" si="14"/>
        <v>Marzo 1995</v>
      </c>
      <c r="D491" s="19">
        <v>19.7476775597768</v>
      </c>
      <c r="E491" s="11">
        <v>2.6100000000000002E-2</v>
      </c>
      <c r="F491" s="11">
        <v>8.2000000000000003E-2</v>
      </c>
      <c r="G491" s="12">
        <v>0.21329999999999999</v>
      </c>
    </row>
    <row r="492" spans="1:7" ht="10.5" thickBot="1" x14ac:dyDescent="0.25">
      <c r="A492" s="13">
        <f t="shared" si="15"/>
        <v>1995</v>
      </c>
      <c r="B492" s="10" t="s">
        <v>14</v>
      </c>
      <c r="C492" s="10" t="str">
        <f t="shared" si="14"/>
        <v>Abril 1995</v>
      </c>
      <c r="D492" s="19">
        <v>20.189435280475301</v>
      </c>
      <c r="E492" s="11">
        <v>2.23E-2</v>
      </c>
      <c r="F492" s="11">
        <v>0.1062</v>
      </c>
      <c r="G492" s="12">
        <v>0.2117</v>
      </c>
    </row>
    <row r="493" spans="1:7" ht="10.5" thickBot="1" x14ac:dyDescent="0.25">
      <c r="A493" s="13">
        <f t="shared" si="15"/>
        <v>1995</v>
      </c>
      <c r="B493" s="10" t="s">
        <v>15</v>
      </c>
      <c r="C493" s="10" t="str">
        <f t="shared" si="14"/>
        <v>Mayo 1995</v>
      </c>
      <c r="D493" s="19">
        <v>20.524015318388599</v>
      </c>
      <c r="E493" s="11">
        <v>1.6500000000000001E-2</v>
      </c>
      <c r="F493" s="11">
        <v>0.1245</v>
      </c>
      <c r="G493" s="12">
        <v>0.21299999999999999</v>
      </c>
    </row>
    <row r="494" spans="1:7" ht="10.5" thickBot="1" x14ac:dyDescent="0.25">
      <c r="A494" s="13">
        <f t="shared" si="15"/>
        <v>1995</v>
      </c>
      <c r="B494" s="10" t="s">
        <v>16</v>
      </c>
      <c r="C494" s="10" t="str">
        <f t="shared" si="14"/>
        <v>Junio 1995</v>
      </c>
      <c r="D494" s="19">
        <v>20.772204769388001</v>
      </c>
      <c r="E494" s="11">
        <v>1.2E-2</v>
      </c>
      <c r="F494" s="11">
        <v>0.1381</v>
      </c>
      <c r="G494" s="12">
        <v>0.21659999999999999</v>
      </c>
    </row>
    <row r="495" spans="1:7" ht="10.5" thickBot="1" x14ac:dyDescent="0.25">
      <c r="A495" s="13">
        <f t="shared" si="15"/>
        <v>1995</v>
      </c>
      <c r="B495" s="10" t="s">
        <v>5</v>
      </c>
      <c r="C495" s="10" t="str">
        <f t="shared" si="14"/>
        <v>Julio 1995</v>
      </c>
      <c r="D495" s="19">
        <v>20.934032251415498</v>
      </c>
      <c r="E495" s="11">
        <v>7.7000000000000002E-3</v>
      </c>
      <c r="F495" s="11">
        <v>0.14699999999999999</v>
      </c>
      <c r="G495" s="14">
        <v>0.215</v>
      </c>
    </row>
    <row r="496" spans="1:7" ht="10.5" thickBot="1" x14ac:dyDescent="0.25">
      <c r="A496" s="13">
        <f t="shared" si="15"/>
        <v>1995</v>
      </c>
      <c r="B496" s="10" t="s">
        <v>6</v>
      </c>
      <c r="C496" s="10" t="str">
        <f t="shared" si="14"/>
        <v>Agosto 1995</v>
      </c>
      <c r="D496" s="19">
        <v>21.067290651343399</v>
      </c>
      <c r="E496" s="11">
        <v>6.3E-3</v>
      </c>
      <c r="F496" s="11">
        <v>0.15429999999999999</v>
      </c>
      <c r="G496" s="14">
        <v>0.2109</v>
      </c>
    </row>
    <row r="497" spans="1:7" ht="10.5" thickBot="1" x14ac:dyDescent="0.25">
      <c r="A497" s="13">
        <f t="shared" si="15"/>
        <v>1995</v>
      </c>
      <c r="B497" s="10" t="s">
        <v>7</v>
      </c>
      <c r="C497" s="10" t="str">
        <f t="shared" si="14"/>
        <v>Septiembre 1995</v>
      </c>
      <c r="D497" s="19">
        <v>21.244887317411798</v>
      </c>
      <c r="E497" s="11">
        <v>8.3999999999999995E-3</v>
      </c>
      <c r="F497" s="11">
        <v>0.16400000000000001</v>
      </c>
      <c r="G497" s="14">
        <v>0.2079</v>
      </c>
    </row>
    <row r="498" spans="1:7" ht="10.5" thickBot="1" x14ac:dyDescent="0.25">
      <c r="A498" s="13">
        <f t="shared" si="15"/>
        <v>1995</v>
      </c>
      <c r="B498" s="10" t="s">
        <v>8</v>
      </c>
      <c r="C498" s="10" t="str">
        <f t="shared" si="14"/>
        <v>Octubre 1995</v>
      </c>
      <c r="D498" s="19">
        <v>21.433546563059799</v>
      </c>
      <c r="E498" s="11">
        <v>8.8000000000000005E-3</v>
      </c>
      <c r="F498" s="11">
        <v>0.1744</v>
      </c>
      <c r="G498" s="14">
        <v>0.20519999999999999</v>
      </c>
    </row>
    <row r="499" spans="1:7" ht="10.5" thickBot="1" x14ac:dyDescent="0.25">
      <c r="A499" s="13">
        <f t="shared" si="15"/>
        <v>1995</v>
      </c>
      <c r="B499" s="10" t="s">
        <v>9</v>
      </c>
      <c r="C499" s="10" t="str">
        <f t="shared" si="14"/>
        <v>Noviembre 1995</v>
      </c>
      <c r="D499" s="19">
        <v>21.603692094229299</v>
      </c>
      <c r="E499" s="11">
        <v>7.9000000000000008E-3</v>
      </c>
      <c r="F499" s="11">
        <v>0.1837</v>
      </c>
      <c r="G499" s="14">
        <v>0.20130000000000001</v>
      </c>
    </row>
    <row r="500" spans="1:7" ht="10.5" thickBot="1" x14ac:dyDescent="0.25">
      <c r="A500" s="15">
        <f t="shared" si="15"/>
        <v>1995</v>
      </c>
      <c r="B500" s="10" t="s">
        <v>10</v>
      </c>
      <c r="C500" s="10" t="str">
        <f t="shared" si="14"/>
        <v>Diciembre 1995</v>
      </c>
      <c r="D500" s="19">
        <v>21.803446027391999</v>
      </c>
      <c r="E500" s="11">
        <v>9.1999999999999998E-3</v>
      </c>
      <c r="F500" s="11">
        <v>0.1946</v>
      </c>
      <c r="G500" s="14">
        <v>0.1946</v>
      </c>
    </row>
    <row r="501" spans="1:7" ht="10.5" thickBot="1" x14ac:dyDescent="0.25">
      <c r="A501" s="16">
        <f t="shared" si="15"/>
        <v>1996</v>
      </c>
      <c r="B501" s="3" t="s">
        <v>11</v>
      </c>
      <c r="C501" s="3" t="str">
        <f t="shared" si="14"/>
        <v>Enero 1996</v>
      </c>
      <c r="D501" s="20">
        <v>22.351620612417499</v>
      </c>
      <c r="E501" s="7">
        <v>2.5100000000000001E-2</v>
      </c>
      <c r="F501" s="7">
        <v>2.5100000000000001E-2</v>
      </c>
      <c r="G501" s="17">
        <v>0.2024</v>
      </c>
    </row>
    <row r="502" spans="1:7" ht="10.5" thickBot="1" x14ac:dyDescent="0.25">
      <c r="A502" s="6">
        <f t="shared" si="15"/>
        <v>1996</v>
      </c>
      <c r="B502" s="3" t="s">
        <v>12</v>
      </c>
      <c r="C502" s="3" t="str">
        <f t="shared" si="14"/>
        <v>Febrero 1996</v>
      </c>
      <c r="D502" s="20">
        <v>23.2484440948433</v>
      </c>
      <c r="E502" s="7">
        <v>4.0099999999999997E-2</v>
      </c>
      <c r="F502" s="7">
        <v>6.6199999999999995E-2</v>
      </c>
      <c r="G502" s="17">
        <v>0.20810000000000001</v>
      </c>
    </row>
    <row r="503" spans="1:7" ht="10.5" thickBot="1" x14ac:dyDescent="0.25">
      <c r="A503" s="6">
        <f t="shared" si="15"/>
        <v>1996</v>
      </c>
      <c r="B503" s="3" t="s">
        <v>13</v>
      </c>
      <c r="C503" s="3" t="str">
        <f t="shared" si="14"/>
        <v>Marzo 1996</v>
      </c>
      <c r="D503" s="20">
        <v>23.738504015648701</v>
      </c>
      <c r="E503" s="7">
        <v>2.1000000000000001E-2</v>
      </c>
      <c r="F503" s="7">
        <v>8.8700000000000001E-2</v>
      </c>
      <c r="G503" s="17">
        <v>0.20200000000000001</v>
      </c>
    </row>
    <row r="504" spans="1:7" ht="10.5" thickBot="1" x14ac:dyDescent="0.25">
      <c r="A504" s="6">
        <f t="shared" si="15"/>
        <v>1996</v>
      </c>
      <c r="B504" s="3" t="s">
        <v>14</v>
      </c>
      <c r="C504" s="3" t="str">
        <f t="shared" si="14"/>
        <v>Abril 1996</v>
      </c>
      <c r="D504" s="20">
        <v>24.2078222104909</v>
      </c>
      <c r="E504" s="7">
        <v>1.9699999999999999E-2</v>
      </c>
      <c r="F504" s="7">
        <v>0.11020000000000001</v>
      </c>
      <c r="G504" s="17">
        <v>0.19900000000000001</v>
      </c>
    </row>
    <row r="505" spans="1:7" ht="10.5" thickBot="1" x14ac:dyDescent="0.25">
      <c r="A505" s="6">
        <f t="shared" si="15"/>
        <v>1996</v>
      </c>
      <c r="B505" s="3" t="s">
        <v>15</v>
      </c>
      <c r="C505" s="3" t="str">
        <f t="shared" si="14"/>
        <v>Mayo 1996</v>
      </c>
      <c r="D505" s="20">
        <v>24.583780302544099</v>
      </c>
      <c r="E505" s="7">
        <v>1.55E-2</v>
      </c>
      <c r="F505" s="7">
        <v>0.1275</v>
      </c>
      <c r="G505" s="17">
        <v>0.1978</v>
      </c>
    </row>
    <row r="506" spans="1:7" ht="10.5" thickBot="1" x14ac:dyDescent="0.25">
      <c r="A506" s="6">
        <f t="shared" si="15"/>
        <v>1996</v>
      </c>
      <c r="B506" s="3" t="s">
        <v>16</v>
      </c>
      <c r="C506" s="3" t="str">
        <f t="shared" si="14"/>
        <v>Junio 1996</v>
      </c>
      <c r="D506" s="20">
        <v>24.8656125873603</v>
      </c>
      <c r="E506" s="7">
        <v>1.14E-2</v>
      </c>
      <c r="F506" s="7">
        <v>0.1404</v>
      </c>
      <c r="G506" s="17">
        <v>0.19700000000000001</v>
      </c>
    </row>
    <row r="507" spans="1:7" ht="10.5" thickBot="1" x14ac:dyDescent="0.25">
      <c r="A507" s="6">
        <f t="shared" si="15"/>
        <v>1996</v>
      </c>
      <c r="B507" s="3" t="s">
        <v>5</v>
      </c>
      <c r="C507" s="3" t="str">
        <f t="shared" si="14"/>
        <v>Julio 1996</v>
      </c>
      <c r="D507" s="20">
        <v>25.241217492129302</v>
      </c>
      <c r="E507" s="7">
        <v>1.5100000000000001E-2</v>
      </c>
      <c r="F507" s="7">
        <v>0.15759999999999999</v>
      </c>
      <c r="G507" s="17">
        <v>0.20569999999999999</v>
      </c>
    </row>
    <row r="508" spans="1:7" ht="10.5" thickBot="1" x14ac:dyDescent="0.25">
      <c r="A508" s="6">
        <f t="shared" si="15"/>
        <v>1996</v>
      </c>
      <c r="B508" s="3" t="s">
        <v>6</v>
      </c>
      <c r="C508" s="3" t="str">
        <f t="shared" si="14"/>
        <v>Agosto 1996</v>
      </c>
      <c r="D508" s="20">
        <v>25.519736377660699</v>
      </c>
      <c r="E508" s="7">
        <v>1.0999999999999999E-2</v>
      </c>
      <c r="F508" s="7">
        <v>0.1704</v>
      </c>
      <c r="G508" s="17">
        <v>0.21129999999999999</v>
      </c>
    </row>
    <row r="509" spans="1:7" ht="10.5" thickBot="1" x14ac:dyDescent="0.25">
      <c r="A509" s="6">
        <f t="shared" si="15"/>
        <v>1996</v>
      </c>
      <c r="B509" s="3" t="s">
        <v>7</v>
      </c>
      <c r="C509" s="3" t="str">
        <f t="shared" si="14"/>
        <v>Septiembre 1996</v>
      </c>
      <c r="D509" s="20">
        <v>25.823584235858299</v>
      </c>
      <c r="E509" s="7">
        <v>1.1900000000000001E-2</v>
      </c>
      <c r="F509" s="7">
        <v>0.18429999999999999</v>
      </c>
      <c r="G509" s="17">
        <v>0.2155</v>
      </c>
    </row>
    <row r="510" spans="1:7" ht="10.5" thickBot="1" x14ac:dyDescent="0.25">
      <c r="A510" s="6">
        <f t="shared" si="15"/>
        <v>1996</v>
      </c>
      <c r="B510" s="3" t="s">
        <v>8</v>
      </c>
      <c r="C510" s="3" t="str">
        <f t="shared" si="14"/>
        <v>Octubre 1996</v>
      </c>
      <c r="D510" s="20">
        <v>26.121506086065999</v>
      </c>
      <c r="E510" s="7">
        <v>1.15E-2</v>
      </c>
      <c r="F510" s="7">
        <v>0.19800000000000001</v>
      </c>
      <c r="G510" s="17">
        <v>0.21870000000000001</v>
      </c>
    </row>
    <row r="511" spans="1:7" ht="10.5" thickBot="1" x14ac:dyDescent="0.25">
      <c r="A511" s="6">
        <f t="shared" si="15"/>
        <v>1996</v>
      </c>
      <c r="B511" s="3" t="s">
        <v>9</v>
      </c>
      <c r="C511" s="3" t="str">
        <f t="shared" si="14"/>
        <v>Noviembre 1996</v>
      </c>
      <c r="D511" s="20">
        <v>26.3312874669063</v>
      </c>
      <c r="E511" s="7">
        <v>8.0000000000000002E-3</v>
      </c>
      <c r="F511" s="7">
        <v>0.20760000000000001</v>
      </c>
      <c r="G511" s="17">
        <v>0.21879999999999999</v>
      </c>
    </row>
    <row r="512" spans="1:7" ht="10.5" thickBot="1" x14ac:dyDescent="0.25">
      <c r="A512" s="8">
        <f t="shared" si="15"/>
        <v>1996</v>
      </c>
      <c r="B512" s="3" t="s">
        <v>10</v>
      </c>
      <c r="C512" s="3" t="str">
        <f t="shared" si="14"/>
        <v>Diciembre 1996</v>
      </c>
      <c r="D512" s="20">
        <v>26.521510229385601</v>
      </c>
      <c r="E512" s="7">
        <v>7.1999999999999998E-3</v>
      </c>
      <c r="F512" s="7">
        <v>0.21629999999999999</v>
      </c>
      <c r="G512" s="17">
        <v>0.21629999999999999</v>
      </c>
    </row>
    <row r="513" spans="1:7" ht="10.5" thickBot="1" x14ac:dyDescent="0.25">
      <c r="A513" s="9">
        <f t="shared" si="15"/>
        <v>1997</v>
      </c>
      <c r="B513" s="10" t="s">
        <v>11</v>
      </c>
      <c r="C513" s="10" t="str">
        <f t="shared" si="14"/>
        <v>Enero 1997</v>
      </c>
      <c r="D513" s="19">
        <v>26.960980608719801</v>
      </c>
      <c r="E513" s="11">
        <v>1.6500000000000001E-2</v>
      </c>
      <c r="F513" s="11">
        <v>1.6500000000000001E-2</v>
      </c>
      <c r="G513" s="12">
        <v>0.20619999999999999</v>
      </c>
    </row>
    <row r="514" spans="1:7" ht="10.5" thickBot="1" x14ac:dyDescent="0.25">
      <c r="A514" s="13">
        <f t="shared" si="15"/>
        <v>1997</v>
      </c>
      <c r="B514" s="10" t="s">
        <v>12</v>
      </c>
      <c r="C514" s="10" t="str">
        <f t="shared" si="14"/>
        <v>Febrero 1997</v>
      </c>
      <c r="D514" s="19">
        <v>27.801999802242999</v>
      </c>
      <c r="E514" s="11">
        <v>3.1099999999999999E-2</v>
      </c>
      <c r="F514" s="11">
        <v>4.82E-2</v>
      </c>
      <c r="G514" s="12">
        <v>0.1958</v>
      </c>
    </row>
    <row r="515" spans="1:7" ht="10.5" thickBot="1" x14ac:dyDescent="0.25">
      <c r="A515" s="13">
        <f t="shared" si="15"/>
        <v>1997</v>
      </c>
      <c r="B515" s="10" t="s">
        <v>13</v>
      </c>
      <c r="C515" s="10" t="str">
        <f t="shared" si="14"/>
        <v>Marzo 1997</v>
      </c>
      <c r="D515" s="19">
        <v>28.234155854400999</v>
      </c>
      <c r="E515" s="11">
        <v>1.55E-2</v>
      </c>
      <c r="F515" s="11">
        <v>6.4500000000000002E-2</v>
      </c>
      <c r="G515" s="12">
        <v>0.1893</v>
      </c>
    </row>
    <row r="516" spans="1:7" ht="10.5" thickBot="1" x14ac:dyDescent="0.25">
      <c r="A516" s="13">
        <f t="shared" si="15"/>
        <v>1997</v>
      </c>
      <c r="B516" s="10" t="s">
        <v>14</v>
      </c>
      <c r="C516" s="10" t="str">
        <f t="shared" ref="C516:C579" si="16">B516&amp;" "&amp;A516</f>
        <v>Abril 1997</v>
      </c>
      <c r="D516" s="19">
        <v>28.6927555829661</v>
      </c>
      <c r="E516" s="11">
        <v>1.6199999999999999E-2</v>
      </c>
      <c r="F516" s="11">
        <v>8.1799999999999998E-2</v>
      </c>
      <c r="G516" s="12">
        <v>0.1852</v>
      </c>
    </row>
    <row r="517" spans="1:7" ht="10.5" thickBot="1" x14ac:dyDescent="0.25">
      <c r="A517" s="13">
        <f t="shared" si="15"/>
        <v>1997</v>
      </c>
      <c r="B517" s="10" t="s">
        <v>15</v>
      </c>
      <c r="C517" s="10" t="str">
        <f t="shared" si="16"/>
        <v>Mayo 1997</v>
      </c>
      <c r="D517" s="19">
        <v>29.158439997172799</v>
      </c>
      <c r="E517" s="11">
        <v>1.6199999999999999E-2</v>
      </c>
      <c r="F517" s="11">
        <v>9.9400000000000002E-2</v>
      </c>
      <c r="G517" s="12">
        <v>0.186</v>
      </c>
    </row>
    <row r="518" spans="1:7" ht="10.5" thickBot="1" x14ac:dyDescent="0.25">
      <c r="A518" s="13">
        <f t="shared" si="15"/>
        <v>1997</v>
      </c>
      <c r="B518" s="10" t="s">
        <v>16</v>
      </c>
      <c r="C518" s="10" t="str">
        <f t="shared" si="16"/>
        <v>Junio 1997</v>
      </c>
      <c r="D518" s="19">
        <v>29.509228958235799</v>
      </c>
      <c r="E518" s="11">
        <v>1.2E-2</v>
      </c>
      <c r="F518" s="11">
        <v>0.11260000000000001</v>
      </c>
      <c r="G518" s="12">
        <v>0.1867</v>
      </c>
    </row>
    <row r="519" spans="1:7" ht="10.5" thickBot="1" x14ac:dyDescent="0.25">
      <c r="A519" s="13">
        <f t="shared" si="15"/>
        <v>1997</v>
      </c>
      <c r="B519" s="10" t="s">
        <v>5</v>
      </c>
      <c r="C519" s="10" t="str">
        <f t="shared" si="16"/>
        <v>Julio 1997</v>
      </c>
      <c r="D519" s="19">
        <v>29.755750890614799</v>
      </c>
      <c r="E519" s="11">
        <v>8.3000000000000001E-3</v>
      </c>
      <c r="F519" s="11">
        <v>0.12189999999999999</v>
      </c>
      <c r="G519" s="14">
        <v>0.17879999999999999</v>
      </c>
    </row>
    <row r="520" spans="1:7" ht="10.5" thickBot="1" x14ac:dyDescent="0.25">
      <c r="A520" s="13">
        <f t="shared" si="15"/>
        <v>1997</v>
      </c>
      <c r="B520" s="10" t="s">
        <v>6</v>
      </c>
      <c r="C520" s="10" t="str">
        <f t="shared" si="16"/>
        <v>Agosto 1997</v>
      </c>
      <c r="D520" s="19">
        <v>30.097626409742499</v>
      </c>
      <c r="E520" s="11">
        <v>1.14E-2</v>
      </c>
      <c r="F520" s="11">
        <v>0.1348</v>
      </c>
      <c r="G520" s="14">
        <v>0.17929999999999999</v>
      </c>
    </row>
    <row r="521" spans="1:7" ht="10.5" thickBot="1" x14ac:dyDescent="0.25">
      <c r="A521" s="13">
        <f t="shared" si="15"/>
        <v>1997</v>
      </c>
      <c r="B521" s="10" t="s">
        <v>7</v>
      </c>
      <c r="C521" s="10" t="str">
        <f t="shared" si="16"/>
        <v>Septiembre 1997</v>
      </c>
      <c r="D521" s="19">
        <v>30.476847645182399</v>
      </c>
      <c r="E521" s="11">
        <v>1.26E-2</v>
      </c>
      <c r="F521" s="11">
        <v>0.14910000000000001</v>
      </c>
      <c r="G521" s="14">
        <v>0.18010000000000001</v>
      </c>
    </row>
    <row r="522" spans="1:7" ht="10.5" thickBot="1" x14ac:dyDescent="0.25">
      <c r="A522" s="13">
        <f t="shared" si="15"/>
        <v>1997</v>
      </c>
      <c r="B522" s="10" t="s">
        <v>8</v>
      </c>
      <c r="C522" s="10" t="str">
        <f t="shared" si="16"/>
        <v>Octubre 1997</v>
      </c>
      <c r="D522" s="19">
        <v>30.771236226550901</v>
      </c>
      <c r="E522" s="11">
        <v>9.5999999999999992E-3</v>
      </c>
      <c r="F522" s="11">
        <v>0.16020000000000001</v>
      </c>
      <c r="G522" s="14">
        <v>0.17799999999999999</v>
      </c>
    </row>
    <row r="523" spans="1:7" ht="10.5" thickBot="1" x14ac:dyDescent="0.25">
      <c r="A523" s="13">
        <f t="shared" si="15"/>
        <v>1997</v>
      </c>
      <c r="B523" s="10" t="s">
        <v>9</v>
      </c>
      <c r="C523" s="10" t="str">
        <f t="shared" si="16"/>
        <v>Noviembre 1997</v>
      </c>
      <c r="D523" s="19">
        <v>31.0214240475003</v>
      </c>
      <c r="E523" s="11">
        <v>8.0999999999999996E-3</v>
      </c>
      <c r="F523" s="11">
        <v>0.1696</v>
      </c>
      <c r="G523" s="14">
        <v>0.17810000000000001</v>
      </c>
    </row>
    <row r="524" spans="1:7" ht="10.5" thickBot="1" x14ac:dyDescent="0.25">
      <c r="A524" s="15">
        <f t="shared" si="15"/>
        <v>1997</v>
      </c>
      <c r="B524" s="10" t="s">
        <v>10</v>
      </c>
      <c r="C524" s="10" t="str">
        <f t="shared" si="16"/>
        <v>Diciembre 1997</v>
      </c>
      <c r="D524" s="19">
        <v>31.211627964017801</v>
      </c>
      <c r="E524" s="11">
        <v>6.1000000000000004E-3</v>
      </c>
      <c r="F524" s="11">
        <v>0.17680000000000001</v>
      </c>
      <c r="G524" s="14">
        <v>0.17680000000000001</v>
      </c>
    </row>
    <row r="525" spans="1:7" ht="10.5" thickBot="1" x14ac:dyDescent="0.25">
      <c r="A525" s="16">
        <f t="shared" si="15"/>
        <v>1998</v>
      </c>
      <c r="B525" s="3" t="s">
        <v>11</v>
      </c>
      <c r="C525" s="3" t="str">
        <f t="shared" si="16"/>
        <v>Enero 1998</v>
      </c>
      <c r="D525" s="20">
        <v>31.771346747646898</v>
      </c>
      <c r="E525" s="7">
        <v>1.7899999999999999E-2</v>
      </c>
      <c r="F525" s="7">
        <v>1.7899999999999999E-2</v>
      </c>
      <c r="G525" s="17">
        <v>0.1784</v>
      </c>
    </row>
    <row r="526" spans="1:7" ht="10.5" thickBot="1" x14ac:dyDescent="0.25">
      <c r="A526" s="6">
        <f t="shared" si="15"/>
        <v>1998</v>
      </c>
      <c r="B526" s="3" t="s">
        <v>12</v>
      </c>
      <c r="C526" s="3" t="str">
        <f t="shared" si="16"/>
        <v>Febrero 1998</v>
      </c>
      <c r="D526" s="20">
        <v>32.8148832507324</v>
      </c>
      <c r="E526" s="7">
        <v>3.2800000000000003E-2</v>
      </c>
      <c r="F526" s="7">
        <v>5.1299999999999998E-2</v>
      </c>
      <c r="G526" s="17">
        <v>0.18029999999999999</v>
      </c>
    </row>
    <row r="527" spans="1:7" ht="10.5" thickBot="1" x14ac:dyDescent="0.25">
      <c r="A527" s="6">
        <f t="shared" si="15"/>
        <v>1998</v>
      </c>
      <c r="B527" s="3" t="s">
        <v>13</v>
      </c>
      <c r="C527" s="3" t="str">
        <f t="shared" si="16"/>
        <v>Marzo 1998</v>
      </c>
      <c r="D527" s="20">
        <v>33.668578098566101</v>
      </c>
      <c r="E527" s="7">
        <v>2.5999999999999999E-2</v>
      </c>
      <c r="F527" s="7">
        <v>7.8700000000000006E-2</v>
      </c>
      <c r="G527" s="17">
        <v>0.19239999999999999</v>
      </c>
    </row>
    <row r="528" spans="1:7" ht="10.5" thickBot="1" x14ac:dyDescent="0.25">
      <c r="A528" s="6">
        <f t="shared" si="15"/>
        <v>1998</v>
      </c>
      <c r="B528" s="3" t="s">
        <v>14</v>
      </c>
      <c r="C528" s="3" t="str">
        <f t="shared" si="16"/>
        <v>Abril 1998</v>
      </c>
      <c r="D528" s="20">
        <v>34.646425256782798</v>
      </c>
      <c r="E528" s="7">
        <v>2.9000000000000001E-2</v>
      </c>
      <c r="F528" s="7">
        <v>0.11</v>
      </c>
      <c r="G528" s="17">
        <v>0.2074</v>
      </c>
    </row>
    <row r="529" spans="1:7" ht="10.5" thickBot="1" x14ac:dyDescent="0.25">
      <c r="A529" s="6">
        <f t="shared" si="15"/>
        <v>1998</v>
      </c>
      <c r="B529" s="3" t="s">
        <v>15</v>
      </c>
      <c r="C529" s="3" t="str">
        <f t="shared" si="16"/>
        <v>Mayo 1998</v>
      </c>
      <c r="D529" s="20">
        <v>35.187817389554198</v>
      </c>
      <c r="E529" s="7">
        <v>1.5599999999999999E-2</v>
      </c>
      <c r="F529" s="7">
        <v>0.1273</v>
      </c>
      <c r="G529" s="17">
        <v>0.20669999999999999</v>
      </c>
    </row>
    <row r="530" spans="1:7" ht="10.5" thickBot="1" x14ac:dyDescent="0.25">
      <c r="A530" s="6">
        <f t="shared" si="15"/>
        <v>1998</v>
      </c>
      <c r="B530" s="3" t="s">
        <v>16</v>
      </c>
      <c r="C530" s="3" t="str">
        <f t="shared" si="16"/>
        <v>Junio 1998</v>
      </c>
      <c r="D530" s="20">
        <v>35.617466928792098</v>
      </c>
      <c r="E530" s="7">
        <v>1.2200000000000001E-2</v>
      </c>
      <c r="F530" s="7">
        <v>0.1411</v>
      </c>
      <c r="G530" s="17">
        <v>0.2069</v>
      </c>
    </row>
    <row r="531" spans="1:7" ht="10.5" thickBot="1" x14ac:dyDescent="0.25">
      <c r="A531" s="6">
        <f t="shared" si="15"/>
        <v>1998</v>
      </c>
      <c r="B531" s="3" t="s">
        <v>5</v>
      </c>
      <c r="C531" s="3" t="str">
        <f t="shared" si="16"/>
        <v>Julio 1998</v>
      </c>
      <c r="D531" s="20">
        <v>35.787763227656001</v>
      </c>
      <c r="E531" s="7">
        <v>4.7000000000000002E-3</v>
      </c>
      <c r="F531" s="7">
        <v>0.14660000000000001</v>
      </c>
      <c r="G531" s="17">
        <v>0.20269999999999999</v>
      </c>
    </row>
    <row r="532" spans="1:7" ht="10.5" thickBot="1" x14ac:dyDescent="0.25">
      <c r="A532" s="6">
        <f t="shared" si="15"/>
        <v>1998</v>
      </c>
      <c r="B532" s="3" t="s">
        <v>6</v>
      </c>
      <c r="C532" s="3" t="str">
        <f t="shared" si="16"/>
        <v>Agosto 1998</v>
      </c>
      <c r="D532" s="20">
        <v>35.799375830121001</v>
      </c>
      <c r="E532" s="7">
        <v>2.9999999999999997E-4</v>
      </c>
      <c r="F532" s="7">
        <v>0.1469</v>
      </c>
      <c r="G532" s="17">
        <v>0.18940000000000001</v>
      </c>
    </row>
    <row r="533" spans="1:7" ht="10.5" thickBot="1" x14ac:dyDescent="0.25">
      <c r="A533" s="6">
        <f t="shared" si="15"/>
        <v>1998</v>
      </c>
      <c r="B533" s="3" t="s">
        <v>7</v>
      </c>
      <c r="C533" s="3" t="str">
        <f t="shared" si="16"/>
        <v>Septiembre 1998</v>
      </c>
      <c r="D533" s="20">
        <v>35.9031989317048</v>
      </c>
      <c r="E533" s="7">
        <v>2.8999999999999998E-3</v>
      </c>
      <c r="F533" s="7">
        <v>0.15029999999999999</v>
      </c>
      <c r="G533" s="17">
        <v>0.17799999999999999</v>
      </c>
    </row>
    <row r="534" spans="1:7" ht="10.5" thickBot="1" x14ac:dyDescent="0.25">
      <c r="A534" s="6">
        <f t="shared" ref="A534:A597" si="17">A522+1</f>
        <v>1998</v>
      </c>
      <c r="B534" s="3" t="s">
        <v>8</v>
      </c>
      <c r="C534" s="3" t="str">
        <f t="shared" si="16"/>
        <v>Octubre 1998</v>
      </c>
      <c r="D534" s="20">
        <v>36.031306102072499</v>
      </c>
      <c r="E534" s="7">
        <v>3.5000000000000001E-3</v>
      </c>
      <c r="F534" s="7">
        <v>0.15440000000000001</v>
      </c>
      <c r="G534" s="17">
        <v>0.1709</v>
      </c>
    </row>
    <row r="535" spans="1:7" ht="10.5" thickBot="1" x14ac:dyDescent="0.25">
      <c r="A535" s="6">
        <f t="shared" si="17"/>
        <v>1998</v>
      </c>
      <c r="B535" s="3" t="s">
        <v>9</v>
      </c>
      <c r="C535" s="3" t="str">
        <f t="shared" si="16"/>
        <v>Noviembre 1998</v>
      </c>
      <c r="D535" s="20">
        <v>36.095231604516002</v>
      </c>
      <c r="E535" s="7">
        <v>1.6999999999999999E-3</v>
      </c>
      <c r="F535" s="7">
        <v>0.15640000000000001</v>
      </c>
      <c r="G535" s="17">
        <v>0.16350000000000001</v>
      </c>
    </row>
    <row r="536" spans="1:7" ht="10.5" thickBot="1" x14ac:dyDescent="0.25">
      <c r="A536" s="8">
        <f t="shared" si="17"/>
        <v>1998</v>
      </c>
      <c r="B536" s="3" t="s">
        <v>10</v>
      </c>
      <c r="C536" s="3" t="str">
        <f t="shared" si="16"/>
        <v>Diciembre 1998</v>
      </c>
      <c r="D536" s="20">
        <v>36.424926350330203</v>
      </c>
      <c r="E536" s="7">
        <v>9.1000000000000004E-3</v>
      </c>
      <c r="F536" s="7">
        <v>0.16700000000000001</v>
      </c>
      <c r="G536" s="17">
        <v>0.16700000000000001</v>
      </c>
    </row>
    <row r="537" spans="1:7" ht="10.5" thickBot="1" x14ac:dyDescent="0.25">
      <c r="A537" s="9">
        <f t="shared" si="17"/>
        <v>1999</v>
      </c>
      <c r="B537" s="10" t="s">
        <v>11</v>
      </c>
      <c r="C537" s="10" t="str">
        <f t="shared" si="16"/>
        <v>Enero 1999</v>
      </c>
      <c r="D537" s="19">
        <v>37.229577723559402</v>
      </c>
      <c r="E537" s="11">
        <v>2.2091E-2</v>
      </c>
      <c r="F537" s="11">
        <v>2.2091E-2</v>
      </c>
      <c r="G537" s="12">
        <v>0.17180699999999999</v>
      </c>
    </row>
    <row r="538" spans="1:7" ht="10.5" thickBot="1" x14ac:dyDescent="0.25">
      <c r="A538" s="13">
        <f t="shared" si="17"/>
        <v>1999</v>
      </c>
      <c r="B538" s="10" t="s">
        <v>12</v>
      </c>
      <c r="C538" s="10" t="str">
        <f t="shared" si="16"/>
        <v>Febrero 1999</v>
      </c>
      <c r="D538" s="19">
        <v>37.861845084155803</v>
      </c>
      <c r="E538" s="11">
        <v>1.6983000000000002E-2</v>
      </c>
      <c r="F538" s="11">
        <v>3.9448999999999998E-2</v>
      </c>
      <c r="G538" s="12">
        <v>0.153811</v>
      </c>
    </row>
    <row r="539" spans="1:7" ht="10.5" thickBot="1" x14ac:dyDescent="0.25">
      <c r="A539" s="13">
        <f t="shared" si="17"/>
        <v>1999</v>
      </c>
      <c r="B539" s="10" t="s">
        <v>13</v>
      </c>
      <c r="C539" s="10" t="str">
        <f t="shared" si="16"/>
        <v>Marzo 1999</v>
      </c>
      <c r="D539" s="19">
        <v>38.2169714084283</v>
      </c>
      <c r="E539" s="11">
        <v>9.3799999999999994E-3</v>
      </c>
      <c r="F539" s="11">
        <v>4.9197999999999999E-2</v>
      </c>
      <c r="G539" s="12">
        <v>0.1351</v>
      </c>
    </row>
    <row r="540" spans="1:7" ht="10.5" thickBot="1" x14ac:dyDescent="0.25">
      <c r="A540" s="13">
        <f t="shared" si="17"/>
        <v>1999</v>
      </c>
      <c r="B540" s="10" t="s">
        <v>14</v>
      </c>
      <c r="C540" s="10" t="str">
        <f t="shared" si="16"/>
        <v>Abril 1999</v>
      </c>
      <c r="D540" s="19">
        <v>38.516518199342897</v>
      </c>
      <c r="E540" s="11">
        <v>7.8379999999999995E-3</v>
      </c>
      <c r="F540" s="11">
        <v>5.7422000000000001E-2</v>
      </c>
      <c r="G540" s="12">
        <v>0.111705</v>
      </c>
    </row>
    <row r="541" spans="1:7" ht="10.5" thickBot="1" x14ac:dyDescent="0.25">
      <c r="A541" s="13">
        <f t="shared" si="17"/>
        <v>1999</v>
      </c>
      <c r="B541" s="10" t="s">
        <v>15</v>
      </c>
      <c r="C541" s="10" t="str">
        <f t="shared" si="16"/>
        <v>Mayo 1999</v>
      </c>
      <c r="D541" s="19">
        <v>38.700828215805402</v>
      </c>
      <c r="E541" s="11">
        <v>4.7850000000000002E-3</v>
      </c>
      <c r="F541" s="11">
        <v>6.2482000000000003E-2</v>
      </c>
      <c r="G541" s="12">
        <v>9.9844000000000002E-2</v>
      </c>
    </row>
    <row r="542" spans="1:7" ht="10.5" thickBot="1" x14ac:dyDescent="0.25">
      <c r="A542" s="13">
        <f t="shared" si="17"/>
        <v>1999</v>
      </c>
      <c r="B542" s="10" t="s">
        <v>16</v>
      </c>
      <c r="C542" s="10" t="str">
        <f t="shared" si="16"/>
        <v>Junio 1999</v>
      </c>
      <c r="D542" s="19">
        <v>38.808953780669498</v>
      </c>
      <c r="E542" s="11">
        <v>2.794E-3</v>
      </c>
      <c r="F542" s="11">
        <v>6.5449999999999994E-2</v>
      </c>
      <c r="G542" s="12">
        <v>8.9606000000000005E-2</v>
      </c>
    </row>
    <row r="543" spans="1:7" ht="10.5" thickBot="1" x14ac:dyDescent="0.25">
      <c r="A543" s="13">
        <f t="shared" si="17"/>
        <v>1999</v>
      </c>
      <c r="B543" s="10" t="s">
        <v>5</v>
      </c>
      <c r="C543" s="10" t="str">
        <f t="shared" si="16"/>
        <v>Julio 1999</v>
      </c>
      <c r="D543" s="19">
        <v>38.930044669257001</v>
      </c>
      <c r="E543" s="11">
        <v>3.1199999999999999E-3</v>
      </c>
      <c r="F543" s="11">
        <v>6.8775000000000003E-2</v>
      </c>
      <c r="G543" s="14">
        <v>8.7813000000000002E-2</v>
      </c>
    </row>
    <row r="544" spans="1:7" ht="10.5" thickBot="1" x14ac:dyDescent="0.25">
      <c r="A544" s="13">
        <f t="shared" si="17"/>
        <v>1999</v>
      </c>
      <c r="B544" s="10" t="s">
        <v>6</v>
      </c>
      <c r="C544" s="10" t="str">
        <f t="shared" si="16"/>
        <v>Agosto 1999</v>
      </c>
      <c r="D544" s="19">
        <v>39.122792790618298</v>
      </c>
      <c r="E544" s="11">
        <v>4.9509999999999997E-3</v>
      </c>
      <c r="F544" s="11">
        <v>7.4066000000000007E-2</v>
      </c>
      <c r="G544" s="14">
        <v>9.2835000000000001E-2</v>
      </c>
    </row>
    <row r="545" spans="1:7" ht="10.5" thickBot="1" x14ac:dyDescent="0.25">
      <c r="A545" s="13">
        <f t="shared" si="17"/>
        <v>1999</v>
      </c>
      <c r="B545" s="10" t="s">
        <v>7</v>
      </c>
      <c r="C545" s="10" t="str">
        <f t="shared" si="16"/>
        <v>Septiembre 1999</v>
      </c>
      <c r="D545" s="19">
        <v>39.252224762301097</v>
      </c>
      <c r="E545" s="11">
        <v>3.3080000000000002E-3</v>
      </c>
      <c r="F545" s="11">
        <v>7.7619999999999995E-2</v>
      </c>
      <c r="G545" s="14">
        <v>9.3286999999999995E-2</v>
      </c>
    </row>
    <row r="546" spans="1:7" ht="10.5" thickBot="1" x14ac:dyDescent="0.25">
      <c r="A546" s="13">
        <f t="shared" si="17"/>
        <v>1999</v>
      </c>
      <c r="B546" s="10" t="s">
        <v>8</v>
      </c>
      <c r="C546" s="10" t="str">
        <f t="shared" si="16"/>
        <v>Octubre 1999</v>
      </c>
      <c r="D546" s="19">
        <v>39.389467338154297</v>
      </c>
      <c r="E546" s="11">
        <v>3.496E-3</v>
      </c>
      <c r="F546" s="11">
        <v>8.1388000000000002E-2</v>
      </c>
      <c r="G546" s="14">
        <v>9.3202999999999994E-2</v>
      </c>
    </row>
    <row r="547" spans="1:7" ht="10.5" thickBot="1" x14ac:dyDescent="0.25">
      <c r="A547" s="13">
        <f t="shared" si="17"/>
        <v>1999</v>
      </c>
      <c r="B547" s="10" t="s">
        <v>9</v>
      </c>
      <c r="C547" s="10" t="str">
        <f t="shared" si="16"/>
        <v>Noviembre 1999</v>
      </c>
      <c r="D547" s="19">
        <v>39.578086797883003</v>
      </c>
      <c r="E547" s="11">
        <v>4.7889999999999999E-3</v>
      </c>
      <c r="F547" s="11">
        <v>8.6566000000000004E-2</v>
      </c>
      <c r="G547" s="14">
        <v>9.6499000000000001E-2</v>
      </c>
    </row>
    <row r="548" spans="1:7" ht="10.5" thickBot="1" x14ac:dyDescent="0.25">
      <c r="A548" s="15">
        <f t="shared" si="17"/>
        <v>1999</v>
      </c>
      <c r="B548" s="10" t="s">
        <v>10</v>
      </c>
      <c r="C548" s="10" t="str">
        <f t="shared" si="16"/>
        <v>Diciembre 1999</v>
      </c>
      <c r="D548" s="19">
        <v>39.787565247337199</v>
      </c>
      <c r="E548" s="11">
        <v>5.293E-3</v>
      </c>
      <c r="F548" s="11">
        <v>9.2316999999999996E-2</v>
      </c>
      <c r="G548" s="14">
        <v>9.2316999999999996E-2</v>
      </c>
    </row>
    <row r="549" spans="1:7" ht="10.5" thickBot="1" x14ac:dyDescent="0.25">
      <c r="A549" s="16">
        <f t="shared" si="17"/>
        <v>2000</v>
      </c>
      <c r="B549" s="3" t="s">
        <v>11</v>
      </c>
      <c r="C549" s="3" t="str">
        <f t="shared" si="16"/>
        <v>Enero 2000</v>
      </c>
      <c r="D549" s="20">
        <v>40.3005446496921</v>
      </c>
      <c r="E549" s="7">
        <v>1.2893E-2</v>
      </c>
      <c r="F549" s="7">
        <v>1.2893E-2</v>
      </c>
      <c r="G549" s="17">
        <v>8.2487000000000005E-2</v>
      </c>
    </row>
    <row r="550" spans="1:7" ht="10.5" thickBot="1" x14ac:dyDescent="0.25">
      <c r="A550" s="6">
        <f t="shared" si="17"/>
        <v>2000</v>
      </c>
      <c r="B550" s="3" t="s">
        <v>12</v>
      </c>
      <c r="C550" s="3" t="str">
        <f t="shared" si="16"/>
        <v>Febrero 2000</v>
      </c>
      <c r="D550" s="20">
        <v>41.2282838854616</v>
      </c>
      <c r="E550" s="7">
        <v>2.3021E-2</v>
      </c>
      <c r="F550" s="7">
        <v>3.6209999999999999E-2</v>
      </c>
      <c r="G550" s="17">
        <v>8.8914000000000007E-2</v>
      </c>
    </row>
    <row r="551" spans="1:7" ht="10.5" thickBot="1" x14ac:dyDescent="0.25">
      <c r="A551" s="6">
        <f t="shared" si="17"/>
        <v>2000</v>
      </c>
      <c r="B551" s="3" t="s">
        <v>13</v>
      </c>
      <c r="C551" s="3" t="str">
        <f t="shared" si="16"/>
        <v>Marzo 2000</v>
      </c>
      <c r="D551" s="20">
        <v>41.933642865924597</v>
      </c>
      <c r="E551" s="7">
        <v>1.7108999999999999E-2</v>
      </c>
      <c r="F551" s="7">
        <v>5.3938E-2</v>
      </c>
      <c r="G551" s="17">
        <v>9.7252000000000005E-2</v>
      </c>
    </row>
    <row r="552" spans="1:7" ht="10.5" thickBot="1" x14ac:dyDescent="0.25">
      <c r="A552" s="6">
        <f t="shared" si="17"/>
        <v>2000</v>
      </c>
      <c r="B552" s="3" t="s">
        <v>14</v>
      </c>
      <c r="C552" s="3" t="str">
        <f t="shared" si="16"/>
        <v>Abril 2000</v>
      </c>
      <c r="D552" s="20">
        <v>42.351353139359603</v>
      </c>
      <c r="E552" s="7">
        <v>9.9609999999999994E-3</v>
      </c>
      <c r="F552" s="7">
        <v>6.4436999999999994E-2</v>
      </c>
      <c r="G552" s="17">
        <v>9.9562999999999999E-2</v>
      </c>
    </row>
    <row r="553" spans="1:7" ht="10.5" thickBot="1" x14ac:dyDescent="0.25">
      <c r="A553" s="6">
        <f t="shared" si="17"/>
        <v>2000</v>
      </c>
      <c r="B553" s="3" t="s">
        <v>15</v>
      </c>
      <c r="C553" s="3" t="str">
        <f t="shared" si="16"/>
        <v>Mayo 2000</v>
      </c>
      <c r="D553" s="20">
        <v>42.572122413930899</v>
      </c>
      <c r="E553" s="7">
        <v>5.2129999999999998E-3</v>
      </c>
      <c r="F553" s="7">
        <v>6.9986000000000007E-2</v>
      </c>
      <c r="G553" s="17">
        <v>0.10003099999999999</v>
      </c>
    </row>
    <row r="554" spans="1:7" ht="10.5" thickBot="1" x14ac:dyDescent="0.25">
      <c r="A554" s="6">
        <f t="shared" si="17"/>
        <v>2000</v>
      </c>
      <c r="B554" s="3" t="s">
        <v>16</v>
      </c>
      <c r="C554" s="3" t="str">
        <f t="shared" si="16"/>
        <v>Junio 2000</v>
      </c>
      <c r="D554" s="20">
        <v>42.563874164647501</v>
      </c>
      <c r="E554" s="7">
        <v>-1.94E-4</v>
      </c>
      <c r="F554" s="7">
        <v>6.9778000000000007E-2</v>
      </c>
      <c r="G554" s="17">
        <v>9.6754000000000007E-2</v>
      </c>
    </row>
    <row r="555" spans="1:7" ht="10.5" thickBot="1" x14ac:dyDescent="0.25">
      <c r="A555" s="6">
        <f t="shared" si="17"/>
        <v>2000</v>
      </c>
      <c r="B555" s="3" t="s">
        <v>5</v>
      </c>
      <c r="C555" s="3" t="str">
        <f t="shared" si="16"/>
        <v>Julio 2000</v>
      </c>
      <c r="D555" s="20">
        <v>42.547339276158397</v>
      </c>
      <c r="E555" s="7">
        <v>-3.88E-4</v>
      </c>
      <c r="F555" s="7">
        <v>6.9362999999999994E-2</v>
      </c>
      <c r="G555" s="17">
        <v>9.2918000000000001E-2</v>
      </c>
    </row>
    <row r="556" spans="1:7" ht="10.5" thickBot="1" x14ac:dyDescent="0.25">
      <c r="A556" s="6">
        <f t="shared" si="17"/>
        <v>2000</v>
      </c>
      <c r="B556" s="3" t="s">
        <v>6</v>
      </c>
      <c r="C556" s="3" t="str">
        <f t="shared" si="16"/>
        <v>Agosto 2000</v>
      </c>
      <c r="D556" s="20">
        <v>42.681634901984097</v>
      </c>
      <c r="E556" s="7">
        <v>3.156E-3</v>
      </c>
      <c r="F556" s="7">
        <v>7.2737999999999997E-2</v>
      </c>
      <c r="G556" s="17">
        <v>9.0966000000000005E-2</v>
      </c>
    </row>
    <row r="557" spans="1:7" ht="10.5" thickBot="1" x14ac:dyDescent="0.25">
      <c r="A557" s="6">
        <f t="shared" si="17"/>
        <v>2000</v>
      </c>
      <c r="B557" s="3" t="s">
        <v>7</v>
      </c>
      <c r="C557" s="3" t="str">
        <f t="shared" si="16"/>
        <v>Septiembre 2000</v>
      </c>
      <c r="D557" s="20">
        <v>42.8634460835111</v>
      </c>
      <c r="E557" s="7">
        <v>4.2599999999999999E-3</v>
      </c>
      <c r="F557" s="7">
        <v>7.7308000000000002E-2</v>
      </c>
      <c r="G557" s="17">
        <v>9.1999999999999998E-2</v>
      </c>
    </row>
    <row r="558" spans="1:7" ht="10.5" thickBot="1" x14ac:dyDescent="0.25">
      <c r="A558" s="6">
        <f t="shared" si="17"/>
        <v>2000</v>
      </c>
      <c r="B558" s="3" t="s">
        <v>8</v>
      </c>
      <c r="C558" s="3" t="str">
        <f t="shared" si="16"/>
        <v>Octubre 2000</v>
      </c>
      <c r="D558" s="20">
        <v>42.9290411985708</v>
      </c>
      <c r="E558" s="7">
        <v>1.5299999999999999E-3</v>
      </c>
      <c r="F558" s="7">
        <v>7.8955999999999998E-2</v>
      </c>
      <c r="G558" s="17">
        <v>8.9860999999999996E-2</v>
      </c>
    </row>
    <row r="559" spans="1:7" ht="10.5" thickBot="1" x14ac:dyDescent="0.25">
      <c r="A559" s="6">
        <f t="shared" si="17"/>
        <v>2000</v>
      </c>
      <c r="B559" s="3" t="s">
        <v>9</v>
      </c>
      <c r="C559" s="3" t="str">
        <f t="shared" si="16"/>
        <v>Noviembre 2000</v>
      </c>
      <c r="D559" s="20">
        <v>43.070021556848701</v>
      </c>
      <c r="E559" s="7">
        <v>3.284E-3</v>
      </c>
      <c r="F559" s="7">
        <v>8.2500000000000004E-2</v>
      </c>
      <c r="G559" s="17">
        <v>8.8229000000000002E-2</v>
      </c>
    </row>
    <row r="560" spans="1:7" ht="10.5" thickBot="1" x14ac:dyDescent="0.25">
      <c r="A560" s="8">
        <f t="shared" si="17"/>
        <v>2000</v>
      </c>
      <c r="B560" s="3" t="s">
        <v>10</v>
      </c>
      <c r="C560" s="3" t="str">
        <f t="shared" si="16"/>
        <v>Diciembre 2000</v>
      </c>
      <c r="D560" s="20">
        <v>43.268253155096701</v>
      </c>
      <c r="E560" s="7">
        <v>4.6030000000000003E-3</v>
      </c>
      <c r="F560" s="7">
        <v>8.7482000000000004E-2</v>
      </c>
      <c r="G560" s="17">
        <v>8.7482000000000004E-2</v>
      </c>
    </row>
    <row r="561" spans="1:7" ht="10.5" thickBot="1" x14ac:dyDescent="0.25">
      <c r="A561" s="9">
        <f t="shared" si="17"/>
        <v>2001</v>
      </c>
      <c r="B561" s="10" t="s">
        <v>11</v>
      </c>
      <c r="C561" s="10" t="str">
        <f t="shared" si="16"/>
        <v>Enero 2001</v>
      </c>
      <c r="D561" s="19">
        <v>43.722935017601998</v>
      </c>
      <c r="E561" s="11">
        <v>1.0508E-2</v>
      </c>
      <c r="F561" s="11">
        <v>1.0508E-2</v>
      </c>
      <c r="G561" s="12">
        <v>8.4921999999999997E-2</v>
      </c>
    </row>
    <row r="562" spans="1:7" ht="10.5" thickBot="1" x14ac:dyDescent="0.25">
      <c r="A562" s="13">
        <f t="shared" si="17"/>
        <v>2001</v>
      </c>
      <c r="B562" s="10" t="s">
        <v>12</v>
      </c>
      <c r="C562" s="10" t="str">
        <f t="shared" si="16"/>
        <v>Febrero 2001</v>
      </c>
      <c r="D562" s="19">
        <v>44.550567296256297</v>
      </c>
      <c r="E562" s="11">
        <v>1.8929000000000001E-2</v>
      </c>
      <c r="F562" s="11">
        <v>2.9635999999999999E-2</v>
      </c>
      <c r="G562" s="12">
        <v>8.0583000000000002E-2</v>
      </c>
    </row>
    <row r="563" spans="1:7" ht="10.5" thickBot="1" x14ac:dyDescent="0.25">
      <c r="A563" s="13">
        <f t="shared" si="17"/>
        <v>2001</v>
      </c>
      <c r="B563" s="10" t="s">
        <v>13</v>
      </c>
      <c r="C563" s="10" t="str">
        <f t="shared" si="16"/>
        <v>Marzo 2001</v>
      </c>
      <c r="D563" s="19">
        <v>45.210461440861998</v>
      </c>
      <c r="E563" s="11">
        <v>1.4812000000000001E-2</v>
      </c>
      <c r="F563" s="11">
        <v>4.4887999999999997E-2</v>
      </c>
      <c r="G563" s="12">
        <v>7.8143000000000004E-2</v>
      </c>
    </row>
    <row r="564" spans="1:7" ht="10.5" thickBot="1" x14ac:dyDescent="0.25">
      <c r="A564" s="13">
        <f t="shared" si="17"/>
        <v>2001</v>
      </c>
      <c r="B564" s="10" t="s">
        <v>14</v>
      </c>
      <c r="C564" s="10" t="str">
        <f t="shared" si="16"/>
        <v>Abril 2001</v>
      </c>
      <c r="D564" s="19">
        <v>45.729268433406197</v>
      </c>
      <c r="E564" s="11">
        <v>1.1475000000000001E-2</v>
      </c>
      <c r="F564" s="11">
        <v>5.6877999999999998E-2</v>
      </c>
      <c r="G564" s="12">
        <v>7.9758999999999997E-2</v>
      </c>
    </row>
    <row r="565" spans="1:7" ht="10.5" thickBot="1" x14ac:dyDescent="0.25">
      <c r="A565" s="13">
        <f t="shared" si="17"/>
        <v>2001</v>
      </c>
      <c r="B565" s="10" t="s">
        <v>15</v>
      </c>
      <c r="C565" s="10" t="str">
        <f t="shared" si="16"/>
        <v>Mayo 2001</v>
      </c>
      <c r="D565" s="19">
        <v>45.920595429647598</v>
      </c>
      <c r="E565" s="11">
        <v>4.1840000000000002E-3</v>
      </c>
      <c r="F565" s="11">
        <v>6.13E-2</v>
      </c>
      <c r="G565" s="12">
        <v>7.8654000000000002E-2</v>
      </c>
    </row>
    <row r="566" spans="1:7" ht="10.5" thickBot="1" x14ac:dyDescent="0.25">
      <c r="A566" s="13">
        <f t="shared" si="17"/>
        <v>2001</v>
      </c>
      <c r="B566" s="10" t="s">
        <v>16</v>
      </c>
      <c r="C566" s="10" t="str">
        <f t="shared" si="16"/>
        <v>Junio 2001</v>
      </c>
      <c r="D566" s="19">
        <v>45.9391014661418</v>
      </c>
      <c r="E566" s="11">
        <v>4.0299999999999998E-4</v>
      </c>
      <c r="F566" s="11">
        <v>6.1727999999999998E-2</v>
      </c>
      <c r="G566" s="12">
        <v>7.9297999999999993E-2</v>
      </c>
    </row>
    <row r="567" spans="1:7" ht="10.5" thickBot="1" x14ac:dyDescent="0.25">
      <c r="A567" s="13">
        <f t="shared" si="17"/>
        <v>2001</v>
      </c>
      <c r="B567" s="10" t="s">
        <v>5</v>
      </c>
      <c r="C567" s="10" t="str">
        <f t="shared" si="16"/>
        <v>Julio 2001</v>
      </c>
      <c r="D567" s="19">
        <v>45.989212180583401</v>
      </c>
      <c r="E567" s="11">
        <v>1.091E-3</v>
      </c>
      <c r="F567" s="11">
        <v>6.2885999999999997E-2</v>
      </c>
      <c r="G567" s="14">
        <v>8.0894999999999995E-2</v>
      </c>
    </row>
    <row r="568" spans="1:7" ht="10.5" thickBot="1" x14ac:dyDescent="0.25">
      <c r="A568" s="13">
        <f t="shared" si="17"/>
        <v>2001</v>
      </c>
      <c r="B568" s="10" t="s">
        <v>6</v>
      </c>
      <c r="C568" s="10" t="str">
        <f t="shared" si="16"/>
        <v>Agosto 2001</v>
      </c>
      <c r="D568" s="19">
        <v>46.109071799666303</v>
      </c>
      <c r="E568" s="11">
        <v>2.6059999999999998E-3</v>
      </c>
      <c r="F568" s="11">
        <v>6.5656000000000006E-2</v>
      </c>
      <c r="G568" s="14">
        <v>8.0301999999999998E-2</v>
      </c>
    </row>
    <row r="569" spans="1:7" ht="10.5" thickBot="1" x14ac:dyDescent="0.25">
      <c r="A569" s="13">
        <f t="shared" si="17"/>
        <v>2001</v>
      </c>
      <c r="B569" s="10" t="s">
        <v>7</v>
      </c>
      <c r="C569" s="10" t="str">
        <f t="shared" si="16"/>
        <v>Septiembre 2001</v>
      </c>
      <c r="D569" s="19">
        <v>46.280156836931702</v>
      </c>
      <c r="E569" s="11">
        <v>3.7100000000000002E-3</v>
      </c>
      <c r="F569" s="11">
        <v>6.9610000000000005E-2</v>
      </c>
      <c r="G569" s="14">
        <v>7.9712000000000005E-2</v>
      </c>
    </row>
    <row r="570" spans="1:7" ht="10.5" thickBot="1" x14ac:dyDescent="0.25">
      <c r="A570" s="13">
        <f t="shared" si="17"/>
        <v>2001</v>
      </c>
      <c r="B570" s="10" t="s">
        <v>8</v>
      </c>
      <c r="C570" s="10" t="str">
        <f t="shared" si="16"/>
        <v>Octubre 2001</v>
      </c>
      <c r="D570" s="19">
        <v>46.365892003173997</v>
      </c>
      <c r="E570" s="11">
        <v>1.853E-3</v>
      </c>
      <c r="F570" s="11">
        <v>7.1591000000000002E-2</v>
      </c>
      <c r="G570" s="14">
        <v>8.0059000000000005E-2</v>
      </c>
    </row>
    <row r="571" spans="1:7" ht="10.5" thickBot="1" x14ac:dyDescent="0.25">
      <c r="A571" s="13">
        <f t="shared" si="17"/>
        <v>2001</v>
      </c>
      <c r="B571" s="10" t="s">
        <v>9</v>
      </c>
      <c r="C571" s="10" t="str">
        <f t="shared" si="16"/>
        <v>Noviembre 2001</v>
      </c>
      <c r="D571" s="19">
        <v>46.420083217345699</v>
      </c>
      <c r="E571" s="11">
        <v>1.1689999999999999E-3</v>
      </c>
      <c r="F571" s="11">
        <v>7.2844000000000006E-2</v>
      </c>
      <c r="G571" s="14">
        <v>7.7782000000000004E-2</v>
      </c>
    </row>
    <row r="572" spans="1:7" ht="10.5" thickBot="1" x14ac:dyDescent="0.25">
      <c r="A572" s="15">
        <f t="shared" si="17"/>
        <v>2001</v>
      </c>
      <c r="B572" s="10" t="s">
        <v>10</v>
      </c>
      <c r="C572" s="10" t="str">
        <f t="shared" si="16"/>
        <v>Diciembre 2001</v>
      </c>
      <c r="D572" s="19">
        <v>46.576697347939003</v>
      </c>
      <c r="E572" s="11">
        <v>3.3739999999999998E-3</v>
      </c>
      <c r="F572" s="11">
        <v>7.6464000000000004E-2</v>
      </c>
      <c r="G572" s="14">
        <v>7.6464000000000004E-2</v>
      </c>
    </row>
    <row r="573" spans="1:7" ht="10.5" thickBot="1" x14ac:dyDescent="0.25">
      <c r="A573" s="16">
        <f t="shared" si="17"/>
        <v>2002</v>
      </c>
      <c r="B573" s="3" t="s">
        <v>11</v>
      </c>
      <c r="C573" s="3" t="str">
        <f t="shared" si="16"/>
        <v>Enero 2002</v>
      </c>
      <c r="D573" s="20">
        <v>46.947396020651396</v>
      </c>
      <c r="E573" s="7">
        <v>7.9590000000000008E-3</v>
      </c>
      <c r="F573" s="7">
        <v>7.9590000000000008E-3</v>
      </c>
      <c r="G573" s="17">
        <v>7.3747999999999994E-2</v>
      </c>
    </row>
    <row r="574" spans="1:7" ht="10.5" thickBot="1" x14ac:dyDescent="0.25">
      <c r="A574" s="6">
        <f t="shared" si="17"/>
        <v>2002</v>
      </c>
      <c r="B574" s="3" t="s">
        <v>12</v>
      </c>
      <c r="C574" s="3" t="str">
        <f t="shared" si="16"/>
        <v>Febrero 2002</v>
      </c>
      <c r="D574" s="20">
        <v>47.537332559038802</v>
      </c>
      <c r="E574" s="7">
        <v>1.2566000000000001E-2</v>
      </c>
      <c r="F574" s="7">
        <v>2.0625000000000001E-2</v>
      </c>
      <c r="G574" s="17">
        <v>6.7042000000000004E-2</v>
      </c>
    </row>
    <row r="575" spans="1:7" ht="10.5" thickBot="1" x14ac:dyDescent="0.25">
      <c r="A575" s="6">
        <f t="shared" si="17"/>
        <v>2002</v>
      </c>
      <c r="B575" s="3" t="s">
        <v>13</v>
      </c>
      <c r="C575" s="3" t="str">
        <f t="shared" si="16"/>
        <v>Marzo 2002</v>
      </c>
      <c r="D575" s="20">
        <v>47.874051962616299</v>
      </c>
      <c r="E575" s="7">
        <v>7.0829999999999999E-3</v>
      </c>
      <c r="F575" s="7">
        <v>2.7854E-2</v>
      </c>
      <c r="G575" s="17">
        <v>5.8915000000000002E-2</v>
      </c>
    </row>
    <row r="576" spans="1:7" ht="10.5" thickBot="1" x14ac:dyDescent="0.25">
      <c r="A576" s="6">
        <f t="shared" si="17"/>
        <v>2002</v>
      </c>
      <c r="B576" s="3" t="s">
        <v>14</v>
      </c>
      <c r="C576" s="3" t="str">
        <f t="shared" si="16"/>
        <v>Abril 2002</v>
      </c>
      <c r="D576" s="20">
        <v>48.312097028839197</v>
      </c>
      <c r="E576" s="7">
        <v>9.1500000000000001E-3</v>
      </c>
      <c r="F576" s="7">
        <v>3.7259E-2</v>
      </c>
      <c r="G576" s="17">
        <v>5.6481000000000003E-2</v>
      </c>
    </row>
    <row r="577" spans="1:7" ht="10.5" thickBot="1" x14ac:dyDescent="0.25">
      <c r="A577" s="6">
        <f t="shared" si="17"/>
        <v>2002</v>
      </c>
      <c r="B577" s="3" t="s">
        <v>15</v>
      </c>
      <c r="C577" s="3" t="str">
        <f t="shared" si="16"/>
        <v>Mayo 2002</v>
      </c>
      <c r="D577" s="20">
        <v>48.601372072571202</v>
      </c>
      <c r="E577" s="7">
        <v>5.9880000000000003E-3</v>
      </c>
      <c r="F577" s="7">
        <v>4.3470000000000002E-2</v>
      </c>
      <c r="G577" s="17">
        <v>5.8379E-2</v>
      </c>
    </row>
    <row r="578" spans="1:7" ht="10.5" thickBot="1" x14ac:dyDescent="0.25">
      <c r="A578" s="6">
        <f t="shared" si="17"/>
        <v>2002</v>
      </c>
      <c r="B578" s="3" t="s">
        <v>16</v>
      </c>
      <c r="C578" s="3" t="str">
        <f t="shared" si="16"/>
        <v>Junio 2002</v>
      </c>
      <c r="D578" s="20">
        <v>48.8097881681785</v>
      </c>
      <c r="E578" s="7">
        <v>4.2880000000000001E-3</v>
      </c>
      <c r="F578" s="7">
        <v>4.7944000000000001E-2</v>
      </c>
      <c r="G578" s="17">
        <v>6.2489000000000003E-2</v>
      </c>
    </row>
    <row r="579" spans="1:7" ht="10.5" thickBot="1" x14ac:dyDescent="0.25">
      <c r="A579" s="6">
        <f t="shared" si="17"/>
        <v>2002</v>
      </c>
      <c r="B579" s="3" t="s">
        <v>5</v>
      </c>
      <c r="C579" s="3" t="str">
        <f t="shared" si="16"/>
        <v>Julio 2002</v>
      </c>
      <c r="D579" s="20">
        <v>48.8208137538332</v>
      </c>
      <c r="E579" s="7">
        <v>2.2599999999999999E-4</v>
      </c>
      <c r="F579" s="7">
        <v>4.8181000000000002E-2</v>
      </c>
      <c r="G579" s="17">
        <v>6.1571000000000001E-2</v>
      </c>
    </row>
    <row r="580" spans="1:7" ht="10.5" thickBot="1" x14ac:dyDescent="0.25">
      <c r="A580" s="6">
        <f t="shared" si="17"/>
        <v>2002</v>
      </c>
      <c r="B580" s="3" t="s">
        <v>6</v>
      </c>
      <c r="C580" s="3" t="str">
        <f t="shared" ref="C580:C643" si="18">B580&amp;" "&amp;A580</f>
        <v>Agosto 2002</v>
      </c>
      <c r="D580" s="20">
        <v>48.866890036451302</v>
      </c>
      <c r="E580" s="7">
        <v>9.4399999999999996E-4</v>
      </c>
      <c r="F580" s="7">
        <v>4.9169999999999998E-2</v>
      </c>
      <c r="G580" s="17">
        <v>5.9811000000000003E-2</v>
      </c>
    </row>
    <row r="581" spans="1:7" ht="10.5" thickBot="1" x14ac:dyDescent="0.25">
      <c r="A581" s="6">
        <f t="shared" si="17"/>
        <v>2002</v>
      </c>
      <c r="B581" s="3" t="s">
        <v>7</v>
      </c>
      <c r="C581" s="3" t="str">
        <f t="shared" si="18"/>
        <v>Septiembre 2002</v>
      </c>
      <c r="D581" s="20">
        <v>49.0429182996983</v>
      </c>
      <c r="E581" s="7">
        <v>3.6020000000000002E-3</v>
      </c>
      <c r="F581" s="7">
        <v>5.2949999999999997E-2</v>
      </c>
      <c r="G581" s="17">
        <v>5.9695999999999999E-2</v>
      </c>
    </row>
    <row r="582" spans="1:7" ht="10.5" thickBot="1" x14ac:dyDescent="0.25">
      <c r="A582" s="6">
        <f t="shared" si="17"/>
        <v>2002</v>
      </c>
      <c r="B582" s="3" t="s">
        <v>8</v>
      </c>
      <c r="C582" s="3" t="str">
        <f t="shared" si="18"/>
        <v>Octubre 2002</v>
      </c>
      <c r="D582" s="20">
        <v>49.317127043964902</v>
      </c>
      <c r="E582" s="7">
        <v>5.5909999999999996E-3</v>
      </c>
      <c r="F582" s="7">
        <v>5.8837E-2</v>
      </c>
      <c r="G582" s="17">
        <v>6.3650999999999999E-2</v>
      </c>
    </row>
    <row r="583" spans="1:7" ht="10.5" thickBot="1" x14ac:dyDescent="0.25">
      <c r="A583" s="6">
        <f t="shared" si="17"/>
        <v>2002</v>
      </c>
      <c r="B583" s="3" t="s">
        <v>9</v>
      </c>
      <c r="C583" s="3" t="str">
        <f t="shared" si="18"/>
        <v>Noviembre 2002</v>
      </c>
      <c r="D583" s="20">
        <v>49.700935526107997</v>
      </c>
      <c r="E583" s="7">
        <v>7.7819999999999999E-3</v>
      </c>
      <c r="F583" s="7">
        <v>6.7076999999999998E-2</v>
      </c>
      <c r="G583" s="17">
        <v>7.0677000000000004E-2</v>
      </c>
    </row>
    <row r="584" spans="1:7" ht="10.5" thickBot="1" x14ac:dyDescent="0.25">
      <c r="A584" s="8">
        <f t="shared" si="17"/>
        <v>2002</v>
      </c>
      <c r="B584" s="3" t="s">
        <v>10</v>
      </c>
      <c r="C584" s="3" t="str">
        <f t="shared" si="18"/>
        <v>Diciembre 2002</v>
      </c>
      <c r="D584" s="20">
        <v>49.833700441036001</v>
      </c>
      <c r="E584" s="7">
        <v>2.6710000000000002E-3</v>
      </c>
      <c r="F584" s="7">
        <v>6.9928000000000004E-2</v>
      </c>
      <c r="G584" s="17">
        <v>6.9928000000000004E-2</v>
      </c>
    </row>
    <row r="585" spans="1:7" ht="10.5" thickBot="1" x14ac:dyDescent="0.25">
      <c r="A585" s="9">
        <f t="shared" si="17"/>
        <v>2003</v>
      </c>
      <c r="B585" s="10" t="s">
        <v>11</v>
      </c>
      <c r="C585" s="10" t="str">
        <f t="shared" si="18"/>
        <v>Enero 2003</v>
      </c>
      <c r="D585" s="19">
        <v>50.418817299191304</v>
      </c>
      <c r="E585" s="11">
        <v>1.1741E-2</v>
      </c>
      <c r="F585" s="11">
        <v>1.1741E-2</v>
      </c>
      <c r="G585" s="12">
        <v>7.3942999999999995E-2</v>
      </c>
    </row>
    <row r="586" spans="1:7" ht="10.5" thickBot="1" x14ac:dyDescent="0.25">
      <c r="A586" s="13">
        <f t="shared" si="17"/>
        <v>2003</v>
      </c>
      <c r="B586" s="10" t="s">
        <v>12</v>
      </c>
      <c r="C586" s="10" t="str">
        <f t="shared" si="18"/>
        <v>Febrero 2003</v>
      </c>
      <c r="D586" s="19">
        <v>50.978730824425803</v>
      </c>
      <c r="E586" s="11">
        <v>1.1105E-2</v>
      </c>
      <c r="F586" s="11">
        <v>2.2977000000000001E-2</v>
      </c>
      <c r="G586" s="12">
        <v>7.2394E-2</v>
      </c>
    </row>
    <row r="587" spans="1:7" ht="10.5" thickBot="1" x14ac:dyDescent="0.25">
      <c r="A587" s="13">
        <f t="shared" si="17"/>
        <v>2003</v>
      </c>
      <c r="B587" s="10" t="s">
        <v>13</v>
      </c>
      <c r="C587" s="10" t="str">
        <f t="shared" si="18"/>
        <v>Marzo 2003</v>
      </c>
      <c r="D587" s="19">
        <v>51.512541994561403</v>
      </c>
      <c r="E587" s="11">
        <v>1.0470999999999999E-2</v>
      </c>
      <c r="F587" s="11">
        <v>3.3688999999999997E-2</v>
      </c>
      <c r="G587" s="12">
        <v>7.6000999999999999E-2</v>
      </c>
    </row>
    <row r="588" spans="1:7" ht="10.5" thickBot="1" x14ac:dyDescent="0.25">
      <c r="A588" s="13">
        <f t="shared" si="17"/>
        <v>2003</v>
      </c>
      <c r="B588" s="10" t="s">
        <v>14</v>
      </c>
      <c r="C588" s="10" t="str">
        <f t="shared" si="18"/>
        <v>Abril 2003</v>
      </c>
      <c r="D588" s="19">
        <v>52.1036965404803</v>
      </c>
      <c r="E588" s="11">
        <v>1.1476E-2</v>
      </c>
      <c r="F588" s="11">
        <v>4.5551000000000001E-2</v>
      </c>
      <c r="G588" s="12">
        <v>7.8480999999999995E-2</v>
      </c>
    </row>
    <row r="589" spans="1:7" ht="10.5" thickBot="1" x14ac:dyDescent="0.25">
      <c r="A589" s="13">
        <f t="shared" si="17"/>
        <v>2003</v>
      </c>
      <c r="B589" s="10" t="s">
        <v>15</v>
      </c>
      <c r="C589" s="10" t="str">
        <f t="shared" si="18"/>
        <v>Mayo 2003</v>
      </c>
      <c r="D589" s="19">
        <v>52.358940663182103</v>
      </c>
      <c r="E589" s="11">
        <v>4.8989999999999997E-3</v>
      </c>
      <c r="F589" s="11">
        <v>5.0673000000000003E-2</v>
      </c>
      <c r="G589" s="12">
        <v>7.7313999999999994E-2</v>
      </c>
    </row>
    <row r="590" spans="1:7" ht="10.5" thickBot="1" x14ac:dyDescent="0.25">
      <c r="A590" s="13">
        <f t="shared" si="17"/>
        <v>2003</v>
      </c>
      <c r="B590" s="10" t="s">
        <v>16</v>
      </c>
      <c r="C590" s="10" t="str">
        <f t="shared" si="18"/>
        <v>Junio 2003</v>
      </c>
      <c r="D590" s="19">
        <v>52.330314345198502</v>
      </c>
      <c r="E590" s="11">
        <v>-5.4699999999999996E-4</v>
      </c>
      <c r="F590" s="11">
        <v>5.0098999999999998E-2</v>
      </c>
      <c r="G590" s="12">
        <v>7.2126999999999997E-2</v>
      </c>
    </row>
    <row r="591" spans="1:7" ht="10.5" thickBot="1" x14ac:dyDescent="0.25">
      <c r="A591" s="13">
        <f t="shared" si="17"/>
        <v>2003</v>
      </c>
      <c r="B591" s="10" t="s">
        <v>5</v>
      </c>
      <c r="C591" s="10" t="str">
        <f t="shared" si="18"/>
        <v>Julio 2003</v>
      </c>
      <c r="D591" s="19">
        <v>52.255420492984399</v>
      </c>
      <c r="E591" s="11">
        <v>-1.431E-3</v>
      </c>
      <c r="F591" s="11">
        <v>4.8596E-2</v>
      </c>
      <c r="G591" s="14">
        <v>7.0350999999999997E-2</v>
      </c>
    </row>
    <row r="592" spans="1:7" ht="10.5" thickBot="1" x14ac:dyDescent="0.25">
      <c r="A592" s="13">
        <f t="shared" si="17"/>
        <v>2003</v>
      </c>
      <c r="B592" s="10" t="s">
        <v>6</v>
      </c>
      <c r="C592" s="10" t="str">
        <f t="shared" si="18"/>
        <v>Agosto 2003</v>
      </c>
      <c r="D592" s="19">
        <v>52.416842437833701</v>
      </c>
      <c r="E592" s="11">
        <v>3.0890000000000002E-3</v>
      </c>
      <c r="F592" s="11">
        <v>5.1834999999999999E-2</v>
      </c>
      <c r="G592" s="14">
        <v>7.2645000000000001E-2</v>
      </c>
    </row>
    <row r="593" spans="1:7" ht="10.5" thickBot="1" x14ac:dyDescent="0.25">
      <c r="A593" s="13">
        <f t="shared" si="17"/>
        <v>2003</v>
      </c>
      <c r="B593" s="10" t="s">
        <v>7</v>
      </c>
      <c r="C593" s="10" t="str">
        <f t="shared" si="18"/>
        <v>Septiembre 2003</v>
      </c>
      <c r="D593" s="19">
        <v>52.532224395991399</v>
      </c>
      <c r="E593" s="11">
        <v>2.2009999999999998E-3</v>
      </c>
      <c r="F593" s="11">
        <v>5.4150999999999998E-2</v>
      </c>
      <c r="G593" s="14">
        <v>7.1148000000000003E-2</v>
      </c>
    </row>
    <row r="594" spans="1:7" ht="10.5" thickBot="1" x14ac:dyDescent="0.25">
      <c r="A594" s="13">
        <f t="shared" si="17"/>
        <v>2003</v>
      </c>
      <c r="B594" s="10" t="s">
        <v>8</v>
      </c>
      <c r="C594" s="10" t="str">
        <f t="shared" si="18"/>
        <v>Octubre 2003</v>
      </c>
      <c r="D594" s="19">
        <v>52.563887705820001</v>
      </c>
      <c r="E594" s="11">
        <v>6.0300000000000002E-4</v>
      </c>
      <c r="F594" s="11">
        <v>5.4786000000000001E-2</v>
      </c>
      <c r="G594" s="14">
        <v>6.5834000000000004E-2</v>
      </c>
    </row>
    <row r="595" spans="1:7" ht="10.5" thickBot="1" x14ac:dyDescent="0.25">
      <c r="A595" s="13">
        <f t="shared" si="17"/>
        <v>2003</v>
      </c>
      <c r="B595" s="10" t="s">
        <v>9</v>
      </c>
      <c r="C595" s="10" t="str">
        <f t="shared" si="18"/>
        <v>Noviembre 2003</v>
      </c>
      <c r="D595" s="19">
        <v>52.746977620755402</v>
      </c>
      <c r="E595" s="11">
        <v>3.483E-3</v>
      </c>
      <c r="F595" s="11">
        <v>5.8459999999999998E-2</v>
      </c>
      <c r="G595" s="14">
        <v>6.1287000000000001E-2</v>
      </c>
    </row>
    <row r="596" spans="1:7" ht="10.5" thickBot="1" x14ac:dyDescent="0.25">
      <c r="A596" s="15">
        <f t="shared" si="17"/>
        <v>2003</v>
      </c>
      <c r="B596" s="10" t="s">
        <v>10</v>
      </c>
      <c r="C596" s="10" t="str">
        <f t="shared" si="18"/>
        <v>Diciembre 2003</v>
      </c>
      <c r="D596" s="19">
        <v>53.068225187689301</v>
      </c>
      <c r="E596" s="11">
        <v>6.0899999999999999E-3</v>
      </c>
      <c r="F596" s="11">
        <v>6.4906000000000005E-2</v>
      </c>
      <c r="G596" s="14">
        <v>6.4906000000000005E-2</v>
      </c>
    </row>
    <row r="597" spans="1:7" ht="10.5" thickBot="1" x14ac:dyDescent="0.25">
      <c r="A597" s="16">
        <f t="shared" si="17"/>
        <v>2004</v>
      </c>
      <c r="B597" s="3" t="s">
        <v>11</v>
      </c>
      <c r="C597" s="3" t="str">
        <f t="shared" si="18"/>
        <v>Enero 2004</v>
      </c>
      <c r="D597" s="20">
        <v>53.538504526583601</v>
      </c>
      <c r="E597" s="7">
        <v>8.8620000000000001E-3</v>
      </c>
      <c r="F597" s="7">
        <v>8.8620000000000001E-3</v>
      </c>
      <c r="G597" s="17">
        <v>6.1874999999999999E-2</v>
      </c>
    </row>
    <row r="598" spans="1:7" ht="10.5" thickBot="1" x14ac:dyDescent="0.25">
      <c r="A598" s="6">
        <f t="shared" ref="A598:A661" si="19">A586+1</f>
        <v>2004</v>
      </c>
      <c r="B598" s="3" t="s">
        <v>12</v>
      </c>
      <c r="C598" s="3" t="str">
        <f t="shared" si="18"/>
        <v>Febrero 2004</v>
      </c>
      <c r="D598" s="20">
        <v>54.180659735140502</v>
      </c>
      <c r="E598" s="7">
        <v>1.1993999999999999E-2</v>
      </c>
      <c r="F598" s="7">
        <v>2.0962000000000001E-2</v>
      </c>
      <c r="G598" s="17">
        <v>6.2809000000000004E-2</v>
      </c>
    </row>
    <row r="599" spans="1:7" ht="10.5" thickBot="1" x14ac:dyDescent="0.25">
      <c r="A599" s="6">
        <f t="shared" si="19"/>
        <v>2004</v>
      </c>
      <c r="B599" s="3" t="s">
        <v>13</v>
      </c>
      <c r="C599" s="3" t="str">
        <f t="shared" si="18"/>
        <v>Marzo 2004</v>
      </c>
      <c r="D599" s="20">
        <v>54.7139522923271</v>
      </c>
      <c r="E599" s="7">
        <v>9.8429999999999993E-3</v>
      </c>
      <c r="F599" s="7">
        <v>3.1012000000000001E-2</v>
      </c>
      <c r="G599" s="17">
        <v>6.2148000000000002E-2</v>
      </c>
    </row>
    <row r="600" spans="1:7" ht="10.5" thickBot="1" x14ac:dyDescent="0.25">
      <c r="A600" s="6">
        <f t="shared" si="19"/>
        <v>2004</v>
      </c>
      <c r="B600" s="3" t="s">
        <v>14</v>
      </c>
      <c r="C600" s="3" t="str">
        <f t="shared" si="18"/>
        <v>Abril 2004</v>
      </c>
      <c r="D600" s="20">
        <v>54.963511914549599</v>
      </c>
      <c r="E600" s="7">
        <v>4.561E-3</v>
      </c>
      <c r="F600" s="7">
        <v>3.5714000000000003E-2</v>
      </c>
      <c r="G600" s="17">
        <v>5.4886999999999998E-2</v>
      </c>
    </row>
    <row r="601" spans="1:7" ht="10.5" thickBot="1" x14ac:dyDescent="0.25">
      <c r="A601" s="6">
        <f t="shared" si="19"/>
        <v>2004</v>
      </c>
      <c r="B601" s="3" t="s">
        <v>15</v>
      </c>
      <c r="C601" s="3" t="str">
        <f t="shared" si="18"/>
        <v>Mayo 2004</v>
      </c>
      <c r="D601" s="20">
        <v>55.172833314322098</v>
      </c>
      <c r="E601" s="7">
        <v>3.8080000000000002E-3</v>
      </c>
      <c r="F601" s="7">
        <v>3.9659E-2</v>
      </c>
      <c r="G601" s="17">
        <v>5.3741999999999998E-2</v>
      </c>
    </row>
    <row r="602" spans="1:7" ht="10.5" thickBot="1" x14ac:dyDescent="0.25">
      <c r="A602" s="6">
        <f t="shared" si="19"/>
        <v>2004</v>
      </c>
      <c r="B602" s="3" t="s">
        <v>16</v>
      </c>
      <c r="C602" s="3" t="str">
        <f t="shared" si="18"/>
        <v>Junio 2004</v>
      </c>
      <c r="D602" s="20">
        <v>55.505777941549901</v>
      </c>
      <c r="E602" s="7">
        <v>6.0350000000000004E-3</v>
      </c>
      <c r="F602" s="7">
        <v>4.5932000000000001E-2</v>
      </c>
      <c r="G602" s="17">
        <v>6.0680999999999999E-2</v>
      </c>
    </row>
    <row r="603" spans="1:7" ht="10.5" thickBot="1" x14ac:dyDescent="0.25">
      <c r="A603" s="6">
        <f t="shared" si="19"/>
        <v>2004</v>
      </c>
      <c r="B603" s="3" t="s">
        <v>5</v>
      </c>
      <c r="C603" s="3" t="str">
        <f t="shared" si="18"/>
        <v>Julio 2004</v>
      </c>
      <c r="D603" s="20">
        <v>55.4886218343199</v>
      </c>
      <c r="E603" s="7">
        <v>-3.0899999999999998E-4</v>
      </c>
      <c r="F603" s="7">
        <v>4.5608999999999997E-2</v>
      </c>
      <c r="G603" s="17">
        <v>6.1872999999999997E-2</v>
      </c>
    </row>
    <row r="604" spans="1:7" ht="10.5" thickBot="1" x14ac:dyDescent="0.25">
      <c r="A604" s="6">
        <f t="shared" si="19"/>
        <v>2004</v>
      </c>
      <c r="B604" s="3" t="s">
        <v>6</v>
      </c>
      <c r="C604" s="3" t="str">
        <f t="shared" si="18"/>
        <v>Agosto 2004</v>
      </c>
      <c r="D604" s="20">
        <v>55.505362632391602</v>
      </c>
      <c r="E604" s="7">
        <v>3.0200000000000002E-4</v>
      </c>
      <c r="F604" s="7">
        <v>4.5925000000000001E-2</v>
      </c>
      <c r="G604" s="17">
        <v>5.8922000000000002E-2</v>
      </c>
    </row>
    <row r="605" spans="1:7" ht="10.5" thickBot="1" x14ac:dyDescent="0.25">
      <c r="A605" s="6">
        <f t="shared" si="19"/>
        <v>2004</v>
      </c>
      <c r="B605" s="3" t="s">
        <v>7</v>
      </c>
      <c r="C605" s="3" t="str">
        <f t="shared" si="18"/>
        <v>Septiembre 2004</v>
      </c>
      <c r="D605" s="20">
        <v>55.669787367155301</v>
      </c>
      <c r="E605" s="7">
        <v>2.9619999999999998E-3</v>
      </c>
      <c r="F605" s="7">
        <v>4.9022999999999997E-2</v>
      </c>
      <c r="G605" s="17">
        <v>5.9726000000000001E-2</v>
      </c>
    </row>
    <row r="606" spans="1:7" ht="10.5" thickBot="1" x14ac:dyDescent="0.25">
      <c r="A606" s="6">
        <f t="shared" si="19"/>
        <v>2004</v>
      </c>
      <c r="B606" s="3" t="s">
        <v>8</v>
      </c>
      <c r="C606" s="3" t="str">
        <f t="shared" si="18"/>
        <v>Octubre 2004</v>
      </c>
      <c r="D606" s="20">
        <v>55.664250842376099</v>
      </c>
      <c r="E606" s="7">
        <v>-9.8999999999999994E-5</v>
      </c>
      <c r="F606" s="7">
        <v>4.8918999999999997E-2</v>
      </c>
      <c r="G606" s="17">
        <v>5.8983000000000001E-2</v>
      </c>
    </row>
    <row r="607" spans="1:7" ht="10.5" thickBot="1" x14ac:dyDescent="0.25">
      <c r="A607" s="6">
        <f t="shared" si="19"/>
        <v>2004</v>
      </c>
      <c r="B607" s="3" t="s">
        <v>9</v>
      </c>
      <c r="C607" s="3" t="str">
        <f t="shared" si="18"/>
        <v>Noviembre 2004</v>
      </c>
      <c r="D607" s="20">
        <v>55.818856133040597</v>
      </c>
      <c r="E607" s="7">
        <v>2.777E-3</v>
      </c>
      <c r="F607" s="7">
        <v>5.1832000000000003E-2</v>
      </c>
      <c r="G607" s="17">
        <v>5.8237999999999998E-2</v>
      </c>
    </row>
    <row r="608" spans="1:7" ht="10.5" thickBot="1" x14ac:dyDescent="0.25">
      <c r="A608" s="8">
        <f t="shared" si="19"/>
        <v>2004</v>
      </c>
      <c r="B608" s="3" t="s">
        <v>10</v>
      </c>
      <c r="C608" s="3" t="str">
        <f t="shared" si="18"/>
        <v>Diciembre 2004</v>
      </c>
      <c r="D608" s="20">
        <v>55.9856631369762</v>
      </c>
      <c r="E608" s="7">
        <v>2.9880000000000002E-3</v>
      </c>
      <c r="F608" s="7">
        <v>5.4975000000000003E-2</v>
      </c>
      <c r="G608" s="17">
        <v>5.4975000000000003E-2</v>
      </c>
    </row>
    <row r="609" spans="1:7" ht="10.5" thickBot="1" x14ac:dyDescent="0.25">
      <c r="A609" s="9">
        <f t="shared" si="19"/>
        <v>2005</v>
      </c>
      <c r="B609" s="10" t="s">
        <v>11</v>
      </c>
      <c r="C609" s="10" t="str">
        <f t="shared" si="18"/>
        <v>Enero 2005</v>
      </c>
      <c r="D609" s="19">
        <v>56.445903162217</v>
      </c>
      <c r="E609" s="11">
        <v>8.2209999999999991E-3</v>
      </c>
      <c r="F609" s="11">
        <v>8.2209999999999991E-3</v>
      </c>
      <c r="G609" s="12">
        <v>5.4304999999999999E-2</v>
      </c>
    </row>
    <row r="610" spans="1:7" ht="10.5" thickBot="1" x14ac:dyDescent="0.25">
      <c r="A610" s="13">
        <f t="shared" si="19"/>
        <v>2005</v>
      </c>
      <c r="B610" s="10" t="s">
        <v>12</v>
      </c>
      <c r="C610" s="10" t="str">
        <f t="shared" si="18"/>
        <v>Febrero 2005</v>
      </c>
      <c r="D610" s="19">
        <v>57.023042594540001</v>
      </c>
      <c r="E610" s="11">
        <v>1.0225E-2</v>
      </c>
      <c r="F610" s="11">
        <v>1.8529E-2</v>
      </c>
      <c r="G610" s="12">
        <v>5.2461000000000001E-2</v>
      </c>
    </row>
    <row r="611" spans="1:7" ht="10.5" thickBot="1" x14ac:dyDescent="0.25">
      <c r="A611" s="13">
        <f t="shared" si="19"/>
        <v>2005</v>
      </c>
      <c r="B611" s="10" t="s">
        <v>13</v>
      </c>
      <c r="C611" s="10" t="str">
        <f t="shared" si="18"/>
        <v>Marzo 2005</v>
      </c>
      <c r="D611" s="19">
        <v>57.464121860613503</v>
      </c>
      <c r="E611" s="11">
        <v>7.7349999999999997E-3</v>
      </c>
      <c r="F611" s="11">
        <v>2.6408000000000001E-2</v>
      </c>
      <c r="G611" s="12">
        <v>5.0264999999999997E-2</v>
      </c>
    </row>
    <row r="612" spans="1:7" ht="10.5" thickBot="1" x14ac:dyDescent="0.25">
      <c r="A612" s="13">
        <f t="shared" si="19"/>
        <v>2005</v>
      </c>
      <c r="B612" s="10" t="s">
        <v>14</v>
      </c>
      <c r="C612" s="10" t="str">
        <f t="shared" si="18"/>
        <v>Abril 2005</v>
      </c>
      <c r="D612" s="19">
        <v>57.716212425706601</v>
      </c>
      <c r="E612" s="11">
        <v>4.3870000000000003E-3</v>
      </c>
      <c r="F612" s="11">
        <v>3.0911000000000001E-2</v>
      </c>
      <c r="G612" s="12">
        <v>5.0082000000000002E-2</v>
      </c>
    </row>
    <row r="613" spans="1:7" ht="10.5" thickBot="1" x14ac:dyDescent="0.25">
      <c r="A613" s="13">
        <f t="shared" si="19"/>
        <v>2005</v>
      </c>
      <c r="B613" s="10" t="s">
        <v>15</v>
      </c>
      <c r="C613" s="10" t="str">
        <f t="shared" si="18"/>
        <v>Mayo 2005</v>
      </c>
      <c r="D613" s="19">
        <v>57.951608958633102</v>
      </c>
      <c r="E613" s="11">
        <v>4.0790000000000002E-3</v>
      </c>
      <c r="F613" s="11">
        <v>3.5115E-2</v>
      </c>
      <c r="G613" s="12">
        <v>5.0365E-2</v>
      </c>
    </row>
    <row r="614" spans="1:7" ht="10.5" thickBot="1" x14ac:dyDescent="0.25">
      <c r="A614" s="13">
        <f t="shared" si="19"/>
        <v>2005</v>
      </c>
      <c r="B614" s="10" t="s">
        <v>16</v>
      </c>
      <c r="C614" s="10" t="str">
        <f t="shared" si="18"/>
        <v>Junio 2005</v>
      </c>
      <c r="D614" s="19">
        <v>58.1839838556836</v>
      </c>
      <c r="E614" s="11">
        <v>4.0099999999999997E-3</v>
      </c>
      <c r="F614" s="11">
        <v>3.9266000000000002E-2</v>
      </c>
      <c r="G614" s="12">
        <v>4.8251000000000002E-2</v>
      </c>
    </row>
    <row r="615" spans="1:7" ht="10.5" thickBot="1" x14ac:dyDescent="0.25">
      <c r="A615" s="13">
        <f t="shared" si="19"/>
        <v>2005</v>
      </c>
      <c r="B615" s="10" t="s">
        <v>5</v>
      </c>
      <c r="C615" s="10" t="str">
        <f t="shared" si="18"/>
        <v>Julio 2005</v>
      </c>
      <c r="D615" s="19">
        <v>58.212300262295301</v>
      </c>
      <c r="E615" s="11">
        <v>4.8700000000000002E-4</v>
      </c>
      <c r="F615" s="11">
        <v>3.9772000000000002E-2</v>
      </c>
      <c r="G615" s="14">
        <v>4.9084999999999997E-2</v>
      </c>
    </row>
    <row r="616" spans="1:7" ht="10.5" thickBot="1" x14ac:dyDescent="0.25">
      <c r="A616" s="13">
        <f t="shared" si="19"/>
        <v>2005</v>
      </c>
      <c r="B616" s="10" t="s">
        <v>6</v>
      </c>
      <c r="C616" s="10" t="str">
        <f t="shared" si="18"/>
        <v>Agosto 2005</v>
      </c>
      <c r="D616" s="19">
        <v>58.213195794480299</v>
      </c>
      <c r="E616" s="11">
        <v>1.5E-5</v>
      </c>
      <c r="F616" s="11">
        <v>3.9787999999999997E-2</v>
      </c>
      <c r="G616" s="14">
        <v>4.8785000000000002E-2</v>
      </c>
    </row>
    <row r="617" spans="1:7" ht="10.5" thickBot="1" x14ac:dyDescent="0.25">
      <c r="A617" s="13">
        <f t="shared" si="19"/>
        <v>2005</v>
      </c>
      <c r="B617" s="10" t="s">
        <v>7</v>
      </c>
      <c r="C617" s="10" t="str">
        <f t="shared" si="18"/>
        <v>Septiembre 2005</v>
      </c>
      <c r="D617" s="19">
        <v>58.462238199751098</v>
      </c>
      <c r="E617" s="11">
        <v>4.2779999999999997E-3</v>
      </c>
      <c r="F617" s="11">
        <v>4.4235999999999998E-2</v>
      </c>
      <c r="G617" s="14">
        <v>5.0160999999999997E-2</v>
      </c>
    </row>
    <row r="618" spans="1:7" ht="10.5" thickBot="1" x14ac:dyDescent="0.25">
      <c r="A618" s="13">
        <f t="shared" si="19"/>
        <v>2005</v>
      </c>
      <c r="B618" s="10" t="s">
        <v>8</v>
      </c>
      <c r="C618" s="10" t="str">
        <f t="shared" si="18"/>
        <v>Octubre 2005</v>
      </c>
      <c r="D618" s="19">
        <v>58.596748809141097</v>
      </c>
      <c r="E618" s="11">
        <v>2.3010000000000001E-3</v>
      </c>
      <c r="F618" s="11">
        <v>4.6637999999999999E-2</v>
      </c>
      <c r="G618" s="14">
        <v>5.2682E-2</v>
      </c>
    </row>
    <row r="619" spans="1:7" ht="10.5" thickBot="1" x14ac:dyDescent="0.25">
      <c r="A619" s="13">
        <f t="shared" si="19"/>
        <v>2005</v>
      </c>
      <c r="B619" s="10" t="s">
        <v>9</v>
      </c>
      <c r="C619" s="10" t="str">
        <f t="shared" si="18"/>
        <v>Noviembre 2005</v>
      </c>
      <c r="D619" s="19">
        <v>58.663731545388501</v>
      </c>
      <c r="E619" s="11">
        <v>1.1429999999999999E-3</v>
      </c>
      <c r="F619" s="11">
        <v>4.7835000000000003E-2</v>
      </c>
      <c r="G619" s="14">
        <v>5.0965999999999997E-2</v>
      </c>
    </row>
    <row r="620" spans="1:7" ht="10.5" thickBot="1" x14ac:dyDescent="0.25">
      <c r="A620" s="15">
        <f t="shared" si="19"/>
        <v>2005</v>
      </c>
      <c r="B620" s="10" t="s">
        <v>10</v>
      </c>
      <c r="C620" s="10" t="str">
        <f t="shared" si="18"/>
        <v>Diciembre 2005</v>
      </c>
      <c r="D620" s="19">
        <v>58.7037122063605</v>
      </c>
      <c r="E620" s="11">
        <v>6.8199999999999999E-4</v>
      </c>
      <c r="F620" s="11">
        <v>4.8549000000000002E-2</v>
      </c>
      <c r="G620" s="14">
        <v>4.8549000000000002E-2</v>
      </c>
    </row>
    <row r="621" spans="1:7" ht="10.5" thickBot="1" x14ac:dyDescent="0.25">
      <c r="A621" s="16">
        <f t="shared" si="19"/>
        <v>2006</v>
      </c>
      <c r="B621" s="3" t="s">
        <v>11</v>
      </c>
      <c r="C621" s="3" t="str">
        <f t="shared" si="18"/>
        <v>Enero 2006</v>
      </c>
      <c r="D621" s="20">
        <v>59.021600306103103</v>
      </c>
      <c r="E621" s="7">
        <v>5.4149999999999997E-3</v>
      </c>
      <c r="F621" s="7">
        <v>5.4149999999999997E-3</v>
      </c>
      <c r="G621" s="17">
        <v>4.5630999999999998E-2</v>
      </c>
    </row>
    <row r="622" spans="1:7" ht="10.5" thickBot="1" x14ac:dyDescent="0.25">
      <c r="A622" s="6">
        <f t="shared" si="19"/>
        <v>2006</v>
      </c>
      <c r="B622" s="3" t="s">
        <v>12</v>
      </c>
      <c r="C622" s="3" t="str">
        <f t="shared" si="18"/>
        <v>Febrero 2006</v>
      </c>
      <c r="D622" s="20">
        <v>59.4097908233651</v>
      </c>
      <c r="E622" s="7">
        <v>6.5770000000000004E-3</v>
      </c>
      <c r="F622" s="7">
        <v>1.2028E-2</v>
      </c>
      <c r="G622" s="17">
        <v>4.1855999999999997E-2</v>
      </c>
    </row>
    <row r="623" spans="1:7" ht="10.5" thickBot="1" x14ac:dyDescent="0.25">
      <c r="A623" s="6">
        <f t="shared" si="19"/>
        <v>2006</v>
      </c>
      <c r="B623" s="3" t="s">
        <v>13</v>
      </c>
      <c r="C623" s="3" t="str">
        <f t="shared" si="18"/>
        <v>Marzo 2006</v>
      </c>
      <c r="D623" s="20">
        <v>59.827050887712502</v>
      </c>
      <c r="E623" s="7">
        <v>7.0229999999999997E-3</v>
      </c>
      <c r="F623" s="7">
        <v>1.9136E-2</v>
      </c>
      <c r="G623" s="17">
        <v>4.1119999999999997E-2</v>
      </c>
    </row>
    <row r="624" spans="1:7" ht="10.5" thickBot="1" x14ac:dyDescent="0.25">
      <c r="A624" s="6">
        <f t="shared" si="19"/>
        <v>2006</v>
      </c>
      <c r="B624" s="3" t="s">
        <v>14</v>
      </c>
      <c r="C624" s="3" t="str">
        <f t="shared" si="18"/>
        <v>Abril 2006</v>
      </c>
      <c r="D624" s="20">
        <v>60.094937858791297</v>
      </c>
      <c r="E624" s="7">
        <v>4.4780000000000002E-3</v>
      </c>
      <c r="F624" s="7">
        <v>2.3699000000000001E-2</v>
      </c>
      <c r="G624" s="17">
        <v>4.1214000000000001E-2</v>
      </c>
    </row>
    <row r="625" spans="1:7" ht="10.5" thickBot="1" x14ac:dyDescent="0.25">
      <c r="A625" s="6">
        <f t="shared" si="19"/>
        <v>2006</v>
      </c>
      <c r="B625" s="3" t="s">
        <v>15</v>
      </c>
      <c r="C625" s="3" t="str">
        <f t="shared" si="18"/>
        <v>Mayo 2006</v>
      </c>
      <c r="D625" s="20">
        <v>60.291943073524799</v>
      </c>
      <c r="E625" s="7">
        <v>3.2780000000000001E-3</v>
      </c>
      <c r="F625" s="7">
        <v>2.7054999999999999E-2</v>
      </c>
      <c r="G625" s="17">
        <v>4.0384000000000003E-2</v>
      </c>
    </row>
    <row r="626" spans="1:7" ht="10.5" thickBot="1" x14ac:dyDescent="0.25">
      <c r="A626" s="6">
        <f t="shared" si="19"/>
        <v>2006</v>
      </c>
      <c r="B626" s="3" t="s">
        <v>16</v>
      </c>
      <c r="C626" s="3" t="str">
        <f t="shared" si="18"/>
        <v>Junio 2006</v>
      </c>
      <c r="D626" s="20">
        <v>60.475413397689103</v>
      </c>
      <c r="E626" s="7">
        <v>3.0430000000000001E-3</v>
      </c>
      <c r="F626" s="7">
        <v>3.0179999999999998E-2</v>
      </c>
      <c r="G626" s="17">
        <v>3.9382E-2</v>
      </c>
    </row>
    <row r="627" spans="1:7" ht="10.5" thickBot="1" x14ac:dyDescent="0.25">
      <c r="A627" s="6">
        <f t="shared" si="19"/>
        <v>2006</v>
      </c>
      <c r="B627" s="3" t="s">
        <v>5</v>
      </c>
      <c r="C627" s="3" t="str">
        <f t="shared" si="18"/>
        <v>Julio 2006</v>
      </c>
      <c r="D627" s="20">
        <v>60.725243145364203</v>
      </c>
      <c r="E627" s="7">
        <v>4.1310000000000001E-3</v>
      </c>
      <c r="F627" s="7">
        <v>3.4436000000000001E-2</v>
      </c>
      <c r="G627" s="17">
        <v>4.3168999999999999E-2</v>
      </c>
    </row>
    <row r="628" spans="1:7" ht="10.5" thickBot="1" x14ac:dyDescent="0.25">
      <c r="A628" s="6">
        <f t="shared" si="19"/>
        <v>2006</v>
      </c>
      <c r="B628" s="3" t="s">
        <v>6</v>
      </c>
      <c r="C628" s="3" t="str">
        <f t="shared" si="18"/>
        <v>Agosto 2006</v>
      </c>
      <c r="D628" s="20">
        <v>60.963500076493602</v>
      </c>
      <c r="E628" s="7">
        <v>3.9240000000000004E-3</v>
      </c>
      <c r="F628" s="7">
        <v>3.8495000000000001E-2</v>
      </c>
      <c r="G628" s="17">
        <v>4.7245000000000002E-2</v>
      </c>
    </row>
    <row r="629" spans="1:7" ht="10.5" thickBot="1" x14ac:dyDescent="0.25">
      <c r="A629" s="6">
        <f t="shared" si="19"/>
        <v>2006</v>
      </c>
      <c r="B629" s="3" t="s">
        <v>7</v>
      </c>
      <c r="C629" s="3" t="str">
        <f t="shared" si="18"/>
        <v>Septiembre 2006</v>
      </c>
      <c r="D629" s="20">
        <v>61.137972500893902</v>
      </c>
      <c r="E629" s="7">
        <v>2.862E-3</v>
      </c>
      <c r="F629" s="7">
        <v>4.1466999999999997E-2</v>
      </c>
      <c r="G629" s="17">
        <v>4.5768999999999997E-2</v>
      </c>
    </row>
    <row r="630" spans="1:7" ht="10.5" thickBot="1" x14ac:dyDescent="0.25">
      <c r="A630" s="6">
        <f t="shared" si="19"/>
        <v>2006</v>
      </c>
      <c r="B630" s="3" t="s">
        <v>8</v>
      </c>
      <c r="C630" s="3" t="str">
        <f t="shared" si="18"/>
        <v>Octubre 2006</v>
      </c>
      <c r="D630" s="20">
        <v>61.049566792063899</v>
      </c>
      <c r="E630" s="7">
        <v>-1.446E-3</v>
      </c>
      <c r="F630" s="7">
        <v>3.9961000000000003E-2</v>
      </c>
      <c r="G630" s="17">
        <v>4.1859E-2</v>
      </c>
    </row>
    <row r="631" spans="1:7" ht="10.5" thickBot="1" x14ac:dyDescent="0.25">
      <c r="A631" s="6">
        <f t="shared" si="19"/>
        <v>2006</v>
      </c>
      <c r="B631" s="3" t="s">
        <v>9</v>
      </c>
      <c r="C631" s="3" t="str">
        <f t="shared" si="18"/>
        <v>Noviembre 2006</v>
      </c>
      <c r="D631" s="20">
        <v>61.1942444488486</v>
      </c>
      <c r="E631" s="7">
        <v>2.3700000000000001E-3</v>
      </c>
      <c r="F631" s="7">
        <v>4.2424999999999997E-2</v>
      </c>
      <c r="G631" s="17">
        <v>4.3136000000000001E-2</v>
      </c>
    </row>
    <row r="632" spans="1:7" ht="10.5" thickBot="1" x14ac:dyDescent="0.25">
      <c r="A632" s="8">
        <f t="shared" si="19"/>
        <v>2006</v>
      </c>
      <c r="B632" s="3" t="s">
        <v>10</v>
      </c>
      <c r="C632" s="3" t="str">
        <f t="shared" si="18"/>
        <v>Diciembre 2006</v>
      </c>
      <c r="D632" s="20">
        <v>61.3324118728275</v>
      </c>
      <c r="E632" s="7">
        <v>2.258E-3</v>
      </c>
      <c r="F632" s="7">
        <v>4.4778999999999999E-2</v>
      </c>
      <c r="G632" s="17">
        <v>4.4778999999999999E-2</v>
      </c>
    </row>
    <row r="633" spans="1:7" ht="10.5" thickBot="1" x14ac:dyDescent="0.25">
      <c r="A633" s="9">
        <f t="shared" si="19"/>
        <v>2007</v>
      </c>
      <c r="B633" s="10" t="s">
        <v>11</v>
      </c>
      <c r="C633" s="10" t="str">
        <f t="shared" si="18"/>
        <v>Enero 2007</v>
      </c>
      <c r="D633" s="19">
        <v>61.8025523100032</v>
      </c>
      <c r="E633" s="11">
        <v>7.6649999999999999E-3</v>
      </c>
      <c r="F633" s="11">
        <v>7.6649999999999999E-3</v>
      </c>
      <c r="G633" s="12">
        <v>4.7118E-2</v>
      </c>
    </row>
    <row r="634" spans="1:7" ht="10.5" thickBot="1" x14ac:dyDescent="0.25">
      <c r="A634" s="13">
        <f t="shared" si="19"/>
        <v>2007</v>
      </c>
      <c r="B634" s="10" t="s">
        <v>12</v>
      </c>
      <c r="C634" s="10" t="str">
        <f t="shared" si="18"/>
        <v>Febrero 2007</v>
      </c>
      <c r="D634" s="19">
        <v>62.526884986012703</v>
      </c>
      <c r="E634" s="11">
        <v>1.172E-2</v>
      </c>
      <c r="F634" s="11">
        <v>1.9474999999999999E-2</v>
      </c>
      <c r="G634" s="12">
        <v>5.2468000000000001E-2</v>
      </c>
    </row>
    <row r="635" spans="1:7" ht="10.5" thickBot="1" x14ac:dyDescent="0.25">
      <c r="A635" s="13">
        <f t="shared" si="19"/>
        <v>2007</v>
      </c>
      <c r="B635" s="10" t="s">
        <v>13</v>
      </c>
      <c r="C635" s="10" t="str">
        <f t="shared" si="18"/>
        <v>Marzo 2007</v>
      </c>
      <c r="D635" s="19">
        <v>63.285330248886801</v>
      </c>
      <c r="E635" s="11">
        <v>1.213E-2</v>
      </c>
      <c r="F635" s="11">
        <v>3.1842000000000002E-2</v>
      </c>
      <c r="G635" s="12">
        <v>5.7805000000000002E-2</v>
      </c>
    </row>
    <row r="636" spans="1:7" ht="10.5" thickBot="1" x14ac:dyDescent="0.25">
      <c r="A636" s="13">
        <f t="shared" si="19"/>
        <v>2007</v>
      </c>
      <c r="B636" s="10" t="s">
        <v>14</v>
      </c>
      <c r="C636" s="10" t="str">
        <f t="shared" si="18"/>
        <v>Abril 2007</v>
      </c>
      <c r="D636" s="19">
        <v>63.8546793189985</v>
      </c>
      <c r="E636" s="11">
        <v>8.9969999999999998E-3</v>
      </c>
      <c r="F636" s="11">
        <v>4.1125000000000002E-2</v>
      </c>
      <c r="G636" s="12">
        <v>6.2562999999999994E-2</v>
      </c>
    </row>
    <row r="637" spans="1:7" ht="10.5" thickBot="1" x14ac:dyDescent="0.25">
      <c r="A637" s="13">
        <f t="shared" si="19"/>
        <v>2007</v>
      </c>
      <c r="B637" s="10" t="s">
        <v>15</v>
      </c>
      <c r="C637" s="10" t="str">
        <f t="shared" si="18"/>
        <v>Mayo 2007</v>
      </c>
      <c r="D637" s="19">
        <v>64.045981187290806</v>
      </c>
      <c r="E637" s="11">
        <v>2.996E-3</v>
      </c>
      <c r="F637" s="11">
        <v>4.4243999999999999E-2</v>
      </c>
      <c r="G637" s="12">
        <v>6.2264E-2</v>
      </c>
    </row>
    <row r="638" spans="1:7" ht="10.5" thickBot="1" x14ac:dyDescent="0.25">
      <c r="A638" s="13">
        <f t="shared" si="19"/>
        <v>2007</v>
      </c>
      <c r="B638" s="10" t="s">
        <v>16</v>
      </c>
      <c r="C638" s="10" t="str">
        <f t="shared" si="18"/>
        <v>Junio 2007</v>
      </c>
      <c r="D638" s="19">
        <v>64.124389462382297</v>
      </c>
      <c r="E638" s="11">
        <v>1.224E-3</v>
      </c>
      <c r="F638" s="11">
        <v>4.5522E-2</v>
      </c>
      <c r="G638" s="12">
        <v>6.0338000000000003E-2</v>
      </c>
    </row>
    <row r="639" spans="1:7" ht="10.5" thickBot="1" x14ac:dyDescent="0.25">
      <c r="A639" s="13">
        <f t="shared" si="19"/>
        <v>2007</v>
      </c>
      <c r="B639" s="10" t="s">
        <v>5</v>
      </c>
      <c r="C639" s="10" t="str">
        <f t="shared" si="18"/>
        <v>Julio 2007</v>
      </c>
      <c r="D639" s="19">
        <v>64.230167658003793</v>
      </c>
      <c r="E639" s="11">
        <v>1.65E-3</v>
      </c>
      <c r="F639" s="11">
        <v>4.7246999999999997E-2</v>
      </c>
      <c r="G639" s="14">
        <v>5.7717999999999998E-2</v>
      </c>
    </row>
    <row r="640" spans="1:7" ht="10.5" thickBot="1" x14ac:dyDescent="0.25">
      <c r="A640" s="13">
        <f t="shared" si="19"/>
        <v>2007</v>
      </c>
      <c r="B640" s="10" t="s">
        <v>6</v>
      </c>
      <c r="C640" s="10" t="str">
        <f t="shared" si="18"/>
        <v>Agosto 2007</v>
      </c>
      <c r="D640" s="19">
        <v>64.144427605771398</v>
      </c>
      <c r="E640" s="11">
        <v>-1.335E-3</v>
      </c>
      <c r="F640" s="11">
        <v>4.5849000000000001E-2</v>
      </c>
      <c r="G640" s="14">
        <v>5.2178000000000002E-2</v>
      </c>
    </row>
    <row r="641" spans="1:7" ht="10.5" thickBot="1" x14ac:dyDescent="0.25">
      <c r="A641" s="13">
        <f t="shared" si="19"/>
        <v>2007</v>
      </c>
      <c r="B641" s="10" t="s">
        <v>7</v>
      </c>
      <c r="C641" s="10" t="str">
        <f t="shared" si="18"/>
        <v>Septiembre 2007</v>
      </c>
      <c r="D641" s="19">
        <v>64.197929197340798</v>
      </c>
      <c r="E641" s="11">
        <v>8.34E-4</v>
      </c>
      <c r="F641" s="11">
        <v>4.6720999999999999E-2</v>
      </c>
      <c r="G641" s="14">
        <v>5.0049999999999997E-2</v>
      </c>
    </row>
    <row r="642" spans="1:7" ht="10.5" thickBot="1" x14ac:dyDescent="0.25">
      <c r="A642" s="13">
        <f t="shared" si="19"/>
        <v>2007</v>
      </c>
      <c r="B642" s="10" t="s">
        <v>8</v>
      </c>
      <c r="C642" s="10" t="str">
        <f t="shared" si="18"/>
        <v>Octubre 2007</v>
      </c>
      <c r="D642" s="19">
        <v>64.201739571618404</v>
      </c>
      <c r="E642" s="11">
        <v>5.8999999999999998E-5</v>
      </c>
      <c r="F642" s="11">
        <v>4.6782999999999998E-2</v>
      </c>
      <c r="G642" s="14">
        <v>5.1632999999999998E-2</v>
      </c>
    </row>
    <row r="643" spans="1:7" ht="10.5" thickBot="1" x14ac:dyDescent="0.25">
      <c r="A643" s="13">
        <f t="shared" si="19"/>
        <v>2007</v>
      </c>
      <c r="B643" s="10" t="s">
        <v>9</v>
      </c>
      <c r="C643" s="10" t="str">
        <f t="shared" si="18"/>
        <v>Noviembre 2007</v>
      </c>
      <c r="D643" s="19">
        <v>64.506122794730999</v>
      </c>
      <c r="E643" s="11">
        <v>4.7410000000000004E-3</v>
      </c>
      <c r="F643" s="11">
        <v>5.1746E-2</v>
      </c>
      <c r="G643" s="14">
        <v>5.4121000000000002E-2</v>
      </c>
    </row>
    <row r="644" spans="1:7" ht="10.5" thickBot="1" x14ac:dyDescent="0.25">
      <c r="A644" s="15">
        <f t="shared" si="19"/>
        <v>2007</v>
      </c>
      <c r="B644" s="10" t="s">
        <v>10</v>
      </c>
      <c r="C644" s="10" t="str">
        <f t="shared" ref="C644:C707" si="20">B644&amp;" "&amp;A644</f>
        <v>Diciembre 2007</v>
      </c>
      <c r="D644" s="19">
        <v>64.824717967040598</v>
      </c>
      <c r="E644" s="11">
        <v>4.9389999999999998E-3</v>
      </c>
      <c r="F644" s="11">
        <v>5.6940999999999999E-2</v>
      </c>
      <c r="G644" s="14">
        <v>5.6940999999999999E-2</v>
      </c>
    </row>
    <row r="645" spans="1:7" ht="10.5" thickBot="1" x14ac:dyDescent="0.25">
      <c r="A645" s="16">
        <f t="shared" si="19"/>
        <v>2008</v>
      </c>
      <c r="B645" s="3" t="s">
        <v>11</v>
      </c>
      <c r="C645" s="3" t="str">
        <f t="shared" si="20"/>
        <v>Enero 2008</v>
      </c>
      <c r="D645" s="20">
        <v>65.508879428464198</v>
      </c>
      <c r="E645" s="7">
        <v>1.0553999999999999E-2</v>
      </c>
      <c r="F645" s="7">
        <v>1.0553999999999999E-2</v>
      </c>
      <c r="G645" s="17">
        <v>5.9970000000000002E-2</v>
      </c>
    </row>
    <row r="646" spans="1:7" ht="10.5" thickBot="1" x14ac:dyDescent="0.25">
      <c r="A646" s="6">
        <f t="shared" si="19"/>
        <v>2008</v>
      </c>
      <c r="B646" s="3" t="s">
        <v>12</v>
      </c>
      <c r="C646" s="3" t="str">
        <f t="shared" si="20"/>
        <v>Febrero 2008</v>
      </c>
      <c r="D646" s="20">
        <v>66.498597448622505</v>
      </c>
      <c r="E646" s="7">
        <v>1.5108E-2</v>
      </c>
      <c r="F646" s="7">
        <v>2.5822000000000001E-2</v>
      </c>
      <c r="G646" s="17">
        <v>6.3519999999999993E-2</v>
      </c>
    </row>
    <row r="647" spans="1:7" ht="10.5" thickBot="1" x14ac:dyDescent="0.25">
      <c r="A647" s="6">
        <f t="shared" si="19"/>
        <v>2008</v>
      </c>
      <c r="B647" s="3" t="s">
        <v>13</v>
      </c>
      <c r="C647" s="3" t="str">
        <f t="shared" si="20"/>
        <v>Marzo 2008</v>
      </c>
      <c r="D647" s="20">
        <v>67.035588700313099</v>
      </c>
      <c r="E647" s="7">
        <v>8.0750000000000006E-3</v>
      </c>
      <c r="F647" s="7">
        <v>3.4105000000000003E-2</v>
      </c>
      <c r="G647" s="17">
        <v>5.926E-2</v>
      </c>
    </row>
    <row r="648" spans="1:7" ht="10.5" thickBot="1" x14ac:dyDescent="0.25">
      <c r="A648" s="6">
        <f t="shared" si="19"/>
        <v>2008</v>
      </c>
      <c r="B648" s="3" t="s">
        <v>14</v>
      </c>
      <c r="C648" s="3" t="str">
        <f t="shared" si="20"/>
        <v>Abril 2008</v>
      </c>
      <c r="D648" s="20">
        <v>67.5122756662211</v>
      </c>
      <c r="E648" s="7">
        <v>7.1110000000000001E-3</v>
      </c>
      <c r="F648" s="7">
        <v>4.1459000000000003E-2</v>
      </c>
      <c r="G648" s="17">
        <v>5.7279999999999998E-2</v>
      </c>
    </row>
    <row r="649" spans="1:7" ht="10.5" thickBot="1" x14ac:dyDescent="0.25">
      <c r="A649" s="6">
        <f t="shared" si="19"/>
        <v>2008</v>
      </c>
      <c r="B649" s="3" t="s">
        <v>15</v>
      </c>
      <c r="C649" s="3" t="str">
        <f t="shared" si="20"/>
        <v>Mayo 2008</v>
      </c>
      <c r="D649" s="20">
        <v>68.141286165418094</v>
      </c>
      <c r="E649" s="7">
        <v>9.3170000000000006E-3</v>
      </c>
      <c r="F649" s="7">
        <v>5.1161999999999999E-2</v>
      </c>
      <c r="G649" s="17">
        <v>6.3943E-2</v>
      </c>
    </row>
    <row r="650" spans="1:7" ht="10.5" thickBot="1" x14ac:dyDescent="0.25">
      <c r="A650" s="6">
        <f t="shared" si="19"/>
        <v>2008</v>
      </c>
      <c r="B650" s="3" t="s">
        <v>16</v>
      </c>
      <c r="C650" s="3" t="str">
        <f t="shared" si="20"/>
        <v>Junio 2008</v>
      </c>
      <c r="D650" s="20">
        <v>68.728779010758103</v>
      </c>
      <c r="E650" s="7">
        <v>8.6219999999999995E-3</v>
      </c>
      <c r="F650" s="7">
        <v>6.0225000000000001E-2</v>
      </c>
      <c r="G650" s="17">
        <v>7.1804000000000007E-2</v>
      </c>
    </row>
    <row r="651" spans="1:7" ht="10.5" thickBot="1" x14ac:dyDescent="0.25">
      <c r="A651" s="6">
        <f t="shared" si="19"/>
        <v>2008</v>
      </c>
      <c r="B651" s="3" t="s">
        <v>5</v>
      </c>
      <c r="C651" s="3" t="str">
        <f t="shared" si="20"/>
        <v>Julio 2008</v>
      </c>
      <c r="D651" s="20">
        <v>69.060012843453194</v>
      </c>
      <c r="E651" s="7">
        <v>4.8190000000000004E-3</v>
      </c>
      <c r="F651" s="7">
        <v>6.5335000000000004E-2</v>
      </c>
      <c r="G651" s="17">
        <v>7.5195999999999999E-2</v>
      </c>
    </row>
    <row r="652" spans="1:7" ht="10.5" thickBot="1" x14ac:dyDescent="0.25">
      <c r="A652" s="6">
        <f t="shared" si="19"/>
        <v>2008</v>
      </c>
      <c r="B652" s="3" t="s">
        <v>6</v>
      </c>
      <c r="C652" s="3" t="str">
        <f t="shared" si="20"/>
        <v>Agosto 2008</v>
      </c>
      <c r="D652" s="20">
        <v>69.192123733706694</v>
      </c>
      <c r="E652" s="7">
        <v>1.913E-3</v>
      </c>
      <c r="F652" s="7">
        <v>6.7373000000000002E-2</v>
      </c>
      <c r="G652" s="17">
        <v>7.8692999999999999E-2</v>
      </c>
    </row>
    <row r="653" spans="1:7" ht="10.5" thickBot="1" x14ac:dyDescent="0.25">
      <c r="A653" s="6">
        <f t="shared" si="19"/>
        <v>2008</v>
      </c>
      <c r="B653" s="3" t="s">
        <v>7</v>
      </c>
      <c r="C653" s="3" t="str">
        <f t="shared" si="20"/>
        <v>Septiembre 2008</v>
      </c>
      <c r="D653" s="20">
        <v>69.060099395277803</v>
      </c>
      <c r="E653" s="7">
        <v>-1.908E-3</v>
      </c>
      <c r="F653" s="7">
        <v>6.5336000000000005E-2</v>
      </c>
      <c r="G653" s="17">
        <v>7.5736999999999999E-2</v>
      </c>
    </row>
    <row r="654" spans="1:7" ht="10.5" thickBot="1" x14ac:dyDescent="0.25">
      <c r="A654" s="6">
        <f t="shared" si="19"/>
        <v>2008</v>
      </c>
      <c r="B654" s="3" t="s">
        <v>8</v>
      </c>
      <c r="C654" s="3" t="str">
        <f t="shared" si="20"/>
        <v>Octubre 2008</v>
      </c>
      <c r="D654" s="20">
        <v>69.299152044794496</v>
      </c>
      <c r="E654" s="7">
        <v>3.4619999999999998E-3</v>
      </c>
      <c r="F654" s="7">
        <v>6.9024000000000002E-2</v>
      </c>
      <c r="G654" s="17">
        <v>7.9396999999999995E-2</v>
      </c>
    </row>
    <row r="655" spans="1:7" ht="10.5" thickBot="1" x14ac:dyDescent="0.25">
      <c r="A655" s="6">
        <f t="shared" si="19"/>
        <v>2008</v>
      </c>
      <c r="B655" s="3" t="s">
        <v>9</v>
      </c>
      <c r="C655" s="3" t="str">
        <f t="shared" si="20"/>
        <v>Noviembre 2008</v>
      </c>
      <c r="D655" s="20">
        <v>69.492506726926507</v>
      </c>
      <c r="E655" s="7">
        <v>2.7899999999999999E-3</v>
      </c>
      <c r="F655" s="7">
        <v>7.2006000000000001E-2</v>
      </c>
      <c r="G655" s="17">
        <v>7.7300999999999995E-2</v>
      </c>
    </row>
    <row r="656" spans="1:7" ht="10.5" thickBot="1" x14ac:dyDescent="0.25">
      <c r="A656" s="8">
        <f t="shared" si="19"/>
        <v>2008</v>
      </c>
      <c r="B656" s="3" t="s">
        <v>10</v>
      </c>
      <c r="C656" s="3" t="str">
        <f t="shared" si="20"/>
        <v>Diciembre 2008</v>
      </c>
      <c r="D656" s="20">
        <v>69.799858538022704</v>
      </c>
      <c r="E656" s="7">
        <v>4.4229999999999998E-3</v>
      </c>
      <c r="F656" s="7">
        <v>7.6747999999999997E-2</v>
      </c>
      <c r="G656" s="17">
        <v>7.6747999999999997E-2</v>
      </c>
    </row>
    <row r="657" spans="1:7" ht="10.5" thickBot="1" x14ac:dyDescent="0.25">
      <c r="A657" s="9">
        <f t="shared" si="19"/>
        <v>2009</v>
      </c>
      <c r="B657" s="10" t="s">
        <v>11</v>
      </c>
      <c r="C657" s="10" t="str">
        <f t="shared" si="20"/>
        <v>Enero 2009</v>
      </c>
      <c r="D657" s="19">
        <v>70.211208648347693</v>
      </c>
      <c r="E657" s="11">
        <v>5.8932799999999999E-3</v>
      </c>
      <c r="F657" s="11">
        <v>5.8932799999999999E-3</v>
      </c>
      <c r="G657" s="12">
        <v>7.1781559999999994E-2</v>
      </c>
    </row>
    <row r="658" spans="1:7" ht="10.5" thickBot="1" x14ac:dyDescent="0.25">
      <c r="A658" s="13">
        <f t="shared" si="19"/>
        <v>2009</v>
      </c>
      <c r="B658" s="10" t="s">
        <v>12</v>
      </c>
      <c r="C658" s="10" t="str">
        <f t="shared" si="20"/>
        <v>Febrero 2009</v>
      </c>
      <c r="D658" s="19">
        <v>70.798893443298596</v>
      </c>
      <c r="E658" s="11">
        <v>8.3702499999999992E-3</v>
      </c>
      <c r="F658" s="11">
        <v>1.431285E-2</v>
      </c>
      <c r="G658" s="12">
        <v>6.4667479999999999E-2</v>
      </c>
    </row>
    <row r="659" spans="1:7" ht="10.5" thickBot="1" x14ac:dyDescent="0.25">
      <c r="A659" s="13">
        <f t="shared" si="19"/>
        <v>2009</v>
      </c>
      <c r="B659" s="10" t="s">
        <v>13</v>
      </c>
      <c r="C659" s="10" t="str">
        <f t="shared" si="20"/>
        <v>Marzo 2009</v>
      </c>
      <c r="D659" s="19">
        <v>71.152107251447305</v>
      </c>
      <c r="E659" s="11">
        <v>4.9889699999999997E-3</v>
      </c>
      <c r="F659" s="11">
        <v>1.9373230000000002E-2</v>
      </c>
      <c r="G659" s="12">
        <v>6.1407950000000003E-2</v>
      </c>
    </row>
    <row r="660" spans="1:7" ht="10.5" thickBot="1" x14ac:dyDescent="0.25">
      <c r="A660" s="13">
        <f t="shared" si="19"/>
        <v>2009</v>
      </c>
      <c r="B660" s="10" t="s">
        <v>14</v>
      </c>
      <c r="C660" s="10" t="str">
        <f t="shared" si="20"/>
        <v>Abril 2009</v>
      </c>
      <c r="D660" s="19">
        <v>71.380638968286604</v>
      </c>
      <c r="E660" s="11">
        <v>3.2118799999999999E-3</v>
      </c>
      <c r="F660" s="11">
        <v>2.264733E-2</v>
      </c>
      <c r="G660" s="12">
        <v>5.7298670000000003E-2</v>
      </c>
    </row>
    <row r="661" spans="1:7" ht="10.5" thickBot="1" x14ac:dyDescent="0.25">
      <c r="A661" s="13">
        <f t="shared" si="19"/>
        <v>2009</v>
      </c>
      <c r="B661" s="10" t="s">
        <v>15</v>
      </c>
      <c r="C661" s="10" t="str">
        <f t="shared" si="20"/>
        <v>Mayo 2009</v>
      </c>
      <c r="D661" s="19">
        <v>71.390687355921699</v>
      </c>
      <c r="E661" s="11">
        <v>1.4077E-4</v>
      </c>
      <c r="F661" s="11">
        <v>2.2791289999999999E-2</v>
      </c>
      <c r="G661" s="12">
        <v>4.7686230000000003E-2</v>
      </c>
    </row>
    <row r="662" spans="1:7" ht="10.5" thickBot="1" x14ac:dyDescent="0.25">
      <c r="A662" s="13">
        <f t="shared" ref="A662:A725" si="21">A650+1</f>
        <v>2009</v>
      </c>
      <c r="B662" s="10" t="s">
        <v>16</v>
      </c>
      <c r="C662" s="10" t="str">
        <f t="shared" si="20"/>
        <v>Junio 2009</v>
      </c>
      <c r="D662" s="19">
        <v>71.350687150989302</v>
      </c>
      <c r="E662" s="11">
        <v>-5.6030000000000001E-4</v>
      </c>
      <c r="F662" s="11">
        <v>2.221822E-2</v>
      </c>
      <c r="G662" s="12">
        <v>3.8148620000000001E-2</v>
      </c>
    </row>
    <row r="663" spans="1:7" ht="10.5" thickBot="1" x14ac:dyDescent="0.25">
      <c r="A663" s="13">
        <f t="shared" si="21"/>
        <v>2009</v>
      </c>
      <c r="B663" s="10" t="s">
        <v>5</v>
      </c>
      <c r="C663" s="10" t="str">
        <f t="shared" si="20"/>
        <v>Julio 2009</v>
      </c>
      <c r="D663" s="19">
        <v>71.322941707220494</v>
      </c>
      <c r="E663" s="11">
        <v>-3.8885999999999999E-4</v>
      </c>
      <c r="F663" s="11">
        <v>2.1820719999999998E-2</v>
      </c>
      <c r="G663" s="14">
        <v>3.2767570000000003E-2</v>
      </c>
    </row>
    <row r="664" spans="1:7" ht="10.5" thickBot="1" x14ac:dyDescent="0.25">
      <c r="A664" s="13">
        <f t="shared" si="21"/>
        <v>2009</v>
      </c>
      <c r="B664" s="10" t="s">
        <v>6</v>
      </c>
      <c r="C664" s="10" t="str">
        <f t="shared" si="20"/>
        <v>Agosto 2009</v>
      </c>
      <c r="D664" s="19">
        <v>71.354392127480594</v>
      </c>
      <c r="E664" s="11">
        <v>4.4096000000000001E-4</v>
      </c>
      <c r="F664" s="11">
        <v>2.2271300000000001E-2</v>
      </c>
      <c r="G664" s="14">
        <v>3.125021E-2</v>
      </c>
    </row>
    <row r="665" spans="1:7" ht="10.5" thickBot="1" x14ac:dyDescent="0.25">
      <c r="A665" s="13">
        <f t="shared" si="21"/>
        <v>2009</v>
      </c>
      <c r="B665" s="10" t="s">
        <v>7</v>
      </c>
      <c r="C665" s="10" t="str">
        <f t="shared" si="20"/>
        <v>Septiembre 2009</v>
      </c>
      <c r="D665" s="19">
        <v>71.276208607933498</v>
      </c>
      <c r="E665" s="11">
        <v>-1.09571E-3</v>
      </c>
      <c r="F665" s="11">
        <v>2.115119E-2</v>
      </c>
      <c r="G665" s="14">
        <v>3.2089569999999998E-2</v>
      </c>
    </row>
    <row r="666" spans="1:7" ht="10.5" thickBot="1" x14ac:dyDescent="0.25">
      <c r="A666" s="13">
        <f t="shared" si="21"/>
        <v>2009</v>
      </c>
      <c r="B666" s="10" t="s">
        <v>8</v>
      </c>
      <c r="C666" s="10" t="str">
        <f t="shared" si="20"/>
        <v>Octubre 2009</v>
      </c>
      <c r="D666" s="19">
        <v>71.185193780391401</v>
      </c>
      <c r="E666" s="11">
        <v>-1.27692E-3</v>
      </c>
      <c r="F666" s="11">
        <v>1.984725E-2</v>
      </c>
      <c r="G666" s="14">
        <v>2.7215949999999999E-2</v>
      </c>
    </row>
    <row r="667" spans="1:7" ht="10.5" thickBot="1" x14ac:dyDescent="0.25">
      <c r="A667" s="13">
        <f t="shared" si="21"/>
        <v>2009</v>
      </c>
      <c r="B667" s="10" t="s">
        <v>9</v>
      </c>
      <c r="C667" s="10" t="str">
        <f t="shared" si="20"/>
        <v>Noviembre 2009</v>
      </c>
      <c r="D667" s="19">
        <v>71.138450211125701</v>
      </c>
      <c r="E667" s="11">
        <v>-6.5665999999999999E-4</v>
      </c>
      <c r="F667" s="11">
        <v>1.9177570000000001E-2</v>
      </c>
      <c r="G667" s="14">
        <v>2.3685189999999998E-2</v>
      </c>
    </row>
    <row r="668" spans="1:7" ht="10.5" thickBot="1" x14ac:dyDescent="0.25">
      <c r="A668" s="15">
        <f t="shared" si="21"/>
        <v>2009</v>
      </c>
      <c r="B668" s="10" t="s">
        <v>10</v>
      </c>
      <c r="C668" s="10" t="str">
        <f t="shared" si="20"/>
        <v>Diciembre 2009</v>
      </c>
      <c r="D668" s="19">
        <v>71.197117690225497</v>
      </c>
      <c r="E668" s="11">
        <v>8.2470000000000004E-4</v>
      </c>
      <c r="F668" s="11">
        <v>2.0018080000000001E-2</v>
      </c>
      <c r="G668" s="14">
        <v>2.0018080000000001E-2</v>
      </c>
    </row>
    <row r="669" spans="1:7" ht="10.5" thickBot="1" x14ac:dyDescent="0.25">
      <c r="A669" s="16">
        <f t="shared" si="21"/>
        <v>2010</v>
      </c>
      <c r="B669" s="3" t="s">
        <v>11</v>
      </c>
      <c r="C669" s="3" t="str">
        <f t="shared" si="20"/>
        <v>Enero 2010</v>
      </c>
      <c r="D669" s="20">
        <v>71.685380264673498</v>
      </c>
      <c r="E669" s="7">
        <v>6.8579000000000001E-3</v>
      </c>
      <c r="F669" s="7">
        <v>6.8579000000000001E-3</v>
      </c>
      <c r="G669" s="17">
        <v>2.0996250000000001E-2</v>
      </c>
    </row>
    <row r="670" spans="1:7" ht="10.5" thickBot="1" x14ac:dyDescent="0.25">
      <c r="A670" s="6">
        <f t="shared" si="21"/>
        <v>2010</v>
      </c>
      <c r="B670" s="3" t="s">
        <v>12</v>
      </c>
      <c r="C670" s="3" t="str">
        <f t="shared" si="20"/>
        <v>Febrero 2010</v>
      </c>
      <c r="D670" s="20">
        <v>72.279252817083901</v>
      </c>
      <c r="E670" s="7">
        <v>8.2844300000000006E-3</v>
      </c>
      <c r="F670" s="7">
        <v>1.519914E-2</v>
      </c>
      <c r="G670" s="17">
        <v>2.090935E-2</v>
      </c>
    </row>
    <row r="671" spans="1:7" ht="10.5" thickBot="1" x14ac:dyDescent="0.25">
      <c r="A671" s="6">
        <f t="shared" si="21"/>
        <v>2010</v>
      </c>
      <c r="B671" s="3" t="s">
        <v>13</v>
      </c>
      <c r="C671" s="3" t="str">
        <f t="shared" si="20"/>
        <v>Marzo 2010</v>
      </c>
      <c r="D671" s="20">
        <v>72.460955808829993</v>
      </c>
      <c r="E671" s="7">
        <v>2.5138999999999999E-3</v>
      </c>
      <c r="F671" s="7">
        <v>1.775125E-2</v>
      </c>
      <c r="G671" s="17">
        <v>1.8395080000000001E-2</v>
      </c>
    </row>
    <row r="672" spans="1:7" ht="10.5" thickBot="1" x14ac:dyDescent="0.25">
      <c r="A672" s="6">
        <f t="shared" si="21"/>
        <v>2010</v>
      </c>
      <c r="B672" s="3" t="s">
        <v>14</v>
      </c>
      <c r="C672" s="3" t="str">
        <f t="shared" si="20"/>
        <v>Abril 2010</v>
      </c>
      <c r="D672" s="20">
        <v>72.794576098688495</v>
      </c>
      <c r="E672" s="7">
        <v>4.6041399999999996E-3</v>
      </c>
      <c r="F672" s="7">
        <v>2.2437120000000001E-2</v>
      </c>
      <c r="G672" s="17">
        <v>1.9808409999999999E-2</v>
      </c>
    </row>
    <row r="673" spans="1:7" ht="10.5" thickBot="1" x14ac:dyDescent="0.25">
      <c r="A673" s="6">
        <f t="shared" si="21"/>
        <v>2010</v>
      </c>
      <c r="B673" s="3" t="s">
        <v>15</v>
      </c>
      <c r="C673" s="3" t="str">
        <f t="shared" si="20"/>
        <v>Mayo 2010</v>
      </c>
      <c r="D673" s="20">
        <v>72.869757526319802</v>
      </c>
      <c r="E673" s="7">
        <v>1.03279E-3</v>
      </c>
      <c r="F673" s="7">
        <v>2.349308E-2</v>
      </c>
      <c r="G673" s="17">
        <v>2.0717969999999999E-2</v>
      </c>
    </row>
    <row r="674" spans="1:7" ht="10.5" thickBot="1" x14ac:dyDescent="0.25">
      <c r="A674" s="6">
        <f t="shared" si="21"/>
        <v>2010</v>
      </c>
      <c r="B674" s="3" t="s">
        <v>16</v>
      </c>
      <c r="C674" s="3" t="str">
        <f t="shared" si="20"/>
        <v>Junio 2010</v>
      </c>
      <c r="D674" s="20">
        <v>72.952605770412902</v>
      </c>
      <c r="E674" s="7">
        <v>1.1369399999999999E-3</v>
      </c>
      <c r="F674" s="7">
        <v>2.4656730000000002E-2</v>
      </c>
      <c r="G674" s="17">
        <v>2.245134E-2</v>
      </c>
    </row>
    <row r="675" spans="1:7" ht="10.5" thickBot="1" x14ac:dyDescent="0.25">
      <c r="A675" s="6">
        <f t="shared" si="21"/>
        <v>2010</v>
      </c>
      <c r="B675" s="3" t="s">
        <v>5</v>
      </c>
      <c r="C675" s="3" t="str">
        <f t="shared" si="20"/>
        <v>Julio 2010</v>
      </c>
      <c r="D675" s="20">
        <v>72.921861724721296</v>
      </c>
      <c r="E675" s="7">
        <v>-4.2141999999999999E-4</v>
      </c>
      <c r="F675" s="7">
        <v>2.422492E-2</v>
      </c>
      <c r="G675" s="17">
        <v>2.241804E-2</v>
      </c>
    </row>
    <row r="676" spans="1:7" ht="10.5" thickBot="1" x14ac:dyDescent="0.25">
      <c r="A676" s="6">
        <f t="shared" si="21"/>
        <v>2010</v>
      </c>
      <c r="B676" s="3" t="s">
        <v>6</v>
      </c>
      <c r="C676" s="3" t="str">
        <f t="shared" si="20"/>
        <v>Agosto 2010</v>
      </c>
      <c r="D676" s="20">
        <v>73.003703454854303</v>
      </c>
      <c r="E676" s="7">
        <v>1.12232E-3</v>
      </c>
      <c r="F676" s="7">
        <v>2.5374420000000002E-2</v>
      </c>
      <c r="G676" s="17">
        <v>2.3114369999999999E-2</v>
      </c>
    </row>
    <row r="677" spans="1:7" ht="10.5" thickBot="1" x14ac:dyDescent="0.25">
      <c r="A677" s="6">
        <f t="shared" si="21"/>
        <v>2010</v>
      </c>
      <c r="B677" s="3" t="s">
        <v>7</v>
      </c>
      <c r="C677" s="3" t="str">
        <f t="shared" si="20"/>
        <v>Septiembre 2010</v>
      </c>
      <c r="D677" s="20">
        <v>72.904612085680796</v>
      </c>
      <c r="E677" s="7">
        <v>-1.35735E-3</v>
      </c>
      <c r="F677" s="7">
        <v>2.398264E-2</v>
      </c>
      <c r="G677" s="17">
        <v>2.2846390000000001E-2</v>
      </c>
    </row>
    <row r="678" spans="1:7" ht="10.5" thickBot="1" x14ac:dyDescent="0.25">
      <c r="A678" s="6">
        <f t="shared" si="21"/>
        <v>2010</v>
      </c>
      <c r="B678" s="3" t="s">
        <v>8</v>
      </c>
      <c r="C678" s="3" t="str">
        <f t="shared" si="20"/>
        <v>Octubre 2010</v>
      </c>
      <c r="D678" s="20">
        <v>72.840301986016797</v>
      </c>
      <c r="E678" s="7">
        <v>-8.8212000000000002E-4</v>
      </c>
      <c r="F678" s="7">
        <v>2.307936E-2</v>
      </c>
      <c r="G678" s="17">
        <v>2.3250730000000001E-2</v>
      </c>
    </row>
    <row r="679" spans="1:7" ht="10.5" thickBot="1" x14ac:dyDescent="0.25">
      <c r="A679" s="6">
        <f t="shared" si="21"/>
        <v>2010</v>
      </c>
      <c r="B679" s="3" t="s">
        <v>9</v>
      </c>
      <c r="C679" s="3" t="str">
        <f t="shared" si="20"/>
        <v>Noviembre 2010</v>
      </c>
      <c r="D679" s="20">
        <v>72.981634833580301</v>
      </c>
      <c r="E679" s="7">
        <v>1.9403199999999999E-3</v>
      </c>
      <c r="F679" s="7">
        <v>2.506446E-2</v>
      </c>
      <c r="G679" s="17">
        <v>2.5909829999999998E-2</v>
      </c>
    </row>
    <row r="680" spans="1:7" ht="10.5" thickBot="1" x14ac:dyDescent="0.25">
      <c r="A680" s="8">
        <f t="shared" si="21"/>
        <v>2010</v>
      </c>
      <c r="B680" s="3" t="s">
        <v>10</v>
      </c>
      <c r="C680" s="3" t="str">
        <f t="shared" si="20"/>
        <v>Diciembre 2010</v>
      </c>
      <c r="D680" s="20">
        <v>73.454936506349298</v>
      </c>
      <c r="E680" s="7">
        <v>6.4852199999999999E-3</v>
      </c>
      <c r="F680" s="7">
        <v>3.1712219999999999E-2</v>
      </c>
      <c r="G680" s="17">
        <v>3.1712219999999999E-2</v>
      </c>
    </row>
    <row r="681" spans="1:7" ht="10.5" thickBot="1" x14ac:dyDescent="0.25">
      <c r="A681" s="9">
        <f t="shared" si="21"/>
        <v>2011</v>
      </c>
      <c r="B681" s="10" t="s">
        <v>11</v>
      </c>
      <c r="C681" s="10" t="str">
        <f t="shared" si="20"/>
        <v>Enero 2011</v>
      </c>
      <c r="D681" s="19">
        <v>74.122234321950103</v>
      </c>
      <c r="E681" s="11">
        <v>9.1000000000000004E-3</v>
      </c>
      <c r="F681" s="11">
        <v>9.1000000000000004E-3</v>
      </c>
      <c r="G681" s="12">
        <v>3.4000000000000002E-2</v>
      </c>
    </row>
    <row r="682" spans="1:7" ht="10.5" thickBot="1" x14ac:dyDescent="0.25">
      <c r="A682" s="13">
        <f t="shared" si="21"/>
        <v>2011</v>
      </c>
      <c r="B682" s="10" t="s">
        <v>12</v>
      </c>
      <c r="C682" s="10" t="str">
        <f t="shared" si="20"/>
        <v>Febrero 2011</v>
      </c>
      <c r="D682" s="19">
        <v>74.568876636749096</v>
      </c>
      <c r="E682" s="11">
        <v>6.0257599999999998E-3</v>
      </c>
      <c r="F682" s="11">
        <v>1.516495E-2</v>
      </c>
      <c r="G682" s="12">
        <v>3.1677469999999999E-2</v>
      </c>
    </row>
    <row r="683" spans="1:7" ht="10.5" thickBot="1" x14ac:dyDescent="0.25">
      <c r="A683" s="13">
        <f t="shared" si="21"/>
        <v>2011</v>
      </c>
      <c r="B683" s="10" t="s">
        <v>13</v>
      </c>
      <c r="C683" s="10" t="str">
        <f t="shared" si="20"/>
        <v>Marzo 2011</v>
      </c>
      <c r="D683" s="19">
        <v>74.769883477372602</v>
      </c>
      <c r="E683" s="11">
        <v>2.6955799999999999E-3</v>
      </c>
      <c r="F683" s="11">
        <v>1.790141E-2</v>
      </c>
      <c r="G683" s="12">
        <v>3.1864440000000001E-2</v>
      </c>
    </row>
    <row r="684" spans="1:7" ht="10.5" thickBot="1" x14ac:dyDescent="0.25">
      <c r="A684" s="13">
        <f t="shared" si="21"/>
        <v>2011</v>
      </c>
      <c r="B684" s="10" t="s">
        <v>14</v>
      </c>
      <c r="C684" s="10" t="str">
        <f t="shared" si="20"/>
        <v>Abril 2011</v>
      </c>
      <c r="D684" s="19">
        <v>74.858994862772306</v>
      </c>
      <c r="E684" s="11">
        <v>1.19181E-3</v>
      </c>
      <c r="F684" s="11">
        <v>1.9114550000000001E-2</v>
      </c>
      <c r="G684" s="12">
        <v>2.8359519999999999E-2</v>
      </c>
    </row>
    <row r="685" spans="1:7" ht="10.5" thickBot="1" x14ac:dyDescent="0.25">
      <c r="A685" s="13">
        <f t="shared" si="21"/>
        <v>2011</v>
      </c>
      <c r="B685" s="10" t="s">
        <v>15</v>
      </c>
      <c r="C685" s="10" t="str">
        <f t="shared" si="20"/>
        <v>Mayo 2011</v>
      </c>
      <c r="D685" s="19">
        <v>75.072202718668194</v>
      </c>
      <c r="E685" s="11">
        <v>2.8481299999999999E-3</v>
      </c>
      <c r="F685" s="11">
        <v>2.2017120000000001E-2</v>
      </c>
      <c r="G685" s="12">
        <v>3.022441E-2</v>
      </c>
    </row>
    <row r="686" spans="1:7" ht="10.5" thickBot="1" x14ac:dyDescent="0.25">
      <c r="A686" s="13">
        <f t="shared" si="21"/>
        <v>2011</v>
      </c>
      <c r="B686" s="10" t="s">
        <v>16</v>
      </c>
      <c r="C686" s="10" t="str">
        <f t="shared" si="20"/>
        <v>Junio 2011</v>
      </c>
      <c r="D686" s="19">
        <v>75.310864488977103</v>
      </c>
      <c r="E686" s="11">
        <v>3.1790999999999998E-3</v>
      </c>
      <c r="F686" s="11">
        <v>2.5266210000000001E-2</v>
      </c>
      <c r="G686" s="12">
        <v>3.2325909999999999E-2</v>
      </c>
    </row>
    <row r="687" spans="1:7" ht="10.5" thickBot="1" x14ac:dyDescent="0.25">
      <c r="A687" s="13">
        <f t="shared" si="21"/>
        <v>2011</v>
      </c>
      <c r="B687" s="10" t="s">
        <v>5</v>
      </c>
      <c r="C687" s="10" t="str">
        <f t="shared" si="20"/>
        <v>Julio 2011</v>
      </c>
      <c r="D687" s="19">
        <v>75.415515416883196</v>
      </c>
      <c r="E687" s="11">
        <v>1.3895800000000001E-3</v>
      </c>
      <c r="F687" s="11">
        <v>2.66909E-2</v>
      </c>
      <c r="G687" s="14">
        <v>3.4196240000000003E-2</v>
      </c>
    </row>
    <row r="688" spans="1:7" ht="10.5" thickBot="1" x14ac:dyDescent="0.25">
      <c r="A688" s="13">
        <f t="shared" si="21"/>
        <v>2011</v>
      </c>
      <c r="B688" s="10" t="s">
        <v>6</v>
      </c>
      <c r="C688" s="10" t="str">
        <f t="shared" si="20"/>
        <v>Agosto 2011</v>
      </c>
      <c r="D688" s="19">
        <v>75.392161082214997</v>
      </c>
      <c r="E688" s="11">
        <v>-3.0968E-4</v>
      </c>
      <c r="F688" s="11">
        <v>2.6372960000000001E-2</v>
      </c>
      <c r="G688" s="14">
        <v>3.2716929999999998E-2</v>
      </c>
    </row>
    <row r="689" spans="1:7" ht="10.5" thickBot="1" x14ac:dyDescent="0.25">
      <c r="A689" s="13">
        <f t="shared" si="21"/>
        <v>2011</v>
      </c>
      <c r="B689" s="10" t="s">
        <v>7</v>
      </c>
      <c r="C689" s="10" t="str">
        <f t="shared" si="20"/>
        <v>Septiembre 2011</v>
      </c>
      <c r="D689" s="19">
        <v>75.624934536457701</v>
      </c>
      <c r="E689" s="11">
        <v>3.0875099999999999E-3</v>
      </c>
      <c r="F689" s="11">
        <v>2.9541899999999999E-2</v>
      </c>
      <c r="G689" s="14">
        <v>3.7313449999999998E-2</v>
      </c>
    </row>
    <row r="690" spans="1:7" ht="10.5" thickBot="1" x14ac:dyDescent="0.25">
      <c r="A690" s="13">
        <f t="shared" si="21"/>
        <v>2011</v>
      </c>
      <c r="B690" s="10" t="s">
        <v>8</v>
      </c>
      <c r="C690" s="10" t="str">
        <f t="shared" si="20"/>
        <v>Octubre 2011</v>
      </c>
      <c r="D690" s="19">
        <v>75.768445139607607</v>
      </c>
      <c r="E690" s="11">
        <v>1.89766E-3</v>
      </c>
      <c r="F690" s="11">
        <v>3.1495620000000002E-2</v>
      </c>
      <c r="G690" s="14">
        <v>4.0199499999999999E-2</v>
      </c>
    </row>
    <row r="691" spans="1:7" ht="10.5" thickBot="1" x14ac:dyDescent="0.25">
      <c r="A691" s="13">
        <f t="shared" si="21"/>
        <v>2011</v>
      </c>
      <c r="B691" s="10" t="s">
        <v>9</v>
      </c>
      <c r="C691" s="10" t="str">
        <f t="shared" si="20"/>
        <v>Noviembre 2011</v>
      </c>
      <c r="D691" s="19">
        <v>75.873877825929299</v>
      </c>
      <c r="E691" s="11">
        <v>1.3915100000000001E-3</v>
      </c>
      <c r="F691" s="11">
        <v>3.2930960000000002E-2</v>
      </c>
      <c r="G691" s="14">
        <v>3.9629730000000002E-2</v>
      </c>
    </row>
    <row r="692" spans="1:7" ht="10.5" thickBot="1" x14ac:dyDescent="0.25">
      <c r="A692" s="15">
        <f t="shared" si="21"/>
        <v>2011</v>
      </c>
      <c r="B692" s="10" t="s">
        <v>10</v>
      </c>
      <c r="C692" s="10" t="str">
        <f t="shared" si="20"/>
        <v>Diciembre 2011</v>
      </c>
      <c r="D692" s="19">
        <v>76.191710783783606</v>
      </c>
      <c r="E692" s="11">
        <v>4.1889600000000003E-3</v>
      </c>
      <c r="F692" s="11">
        <v>3.7257869999999998E-2</v>
      </c>
      <c r="G692" s="14">
        <v>3.7257869999999998E-2</v>
      </c>
    </row>
    <row r="693" spans="1:7" ht="10.5" thickBot="1" x14ac:dyDescent="0.25">
      <c r="A693" s="16">
        <f t="shared" si="21"/>
        <v>2012</v>
      </c>
      <c r="B693" s="3" t="s">
        <v>11</v>
      </c>
      <c r="C693" s="3" t="str">
        <f t="shared" si="20"/>
        <v>Enero 2012</v>
      </c>
      <c r="D693" s="20">
        <v>76.748456093439003</v>
      </c>
      <c r="E693" s="7">
        <v>7.30716E-3</v>
      </c>
      <c r="F693" s="7">
        <v>7.30716E-3</v>
      </c>
      <c r="G693" s="17">
        <v>3.5430959999999997E-2</v>
      </c>
    </row>
    <row r="694" spans="1:7" ht="10.5" thickBot="1" x14ac:dyDescent="0.25">
      <c r="A694" s="6">
        <f t="shared" si="21"/>
        <v>2012</v>
      </c>
      <c r="B694" s="3" t="s">
        <v>12</v>
      </c>
      <c r="C694" s="3" t="str">
        <f t="shared" si="20"/>
        <v>Febrero 2012</v>
      </c>
      <c r="D694" s="20">
        <v>77.217211003422804</v>
      </c>
      <c r="E694" s="7">
        <v>6.1076699999999999E-3</v>
      </c>
      <c r="F694" s="7">
        <v>1.3459469999999999E-2</v>
      </c>
      <c r="G694" s="17">
        <v>3.5515270000000002E-2</v>
      </c>
    </row>
    <row r="695" spans="1:7" ht="10.5" thickBot="1" x14ac:dyDescent="0.25">
      <c r="A695" s="6">
        <f t="shared" si="21"/>
        <v>2012</v>
      </c>
      <c r="B695" s="3" t="s">
        <v>13</v>
      </c>
      <c r="C695" s="3" t="str">
        <f t="shared" si="20"/>
        <v>Marzo 2012</v>
      </c>
      <c r="D695" s="20">
        <v>77.311465242399606</v>
      </c>
      <c r="E695" s="7">
        <v>1.22064E-3</v>
      </c>
      <c r="F695" s="7">
        <v>1.4696529999999999E-2</v>
      </c>
      <c r="G695" s="17">
        <v>3.3992050000000003E-2</v>
      </c>
    </row>
    <row r="696" spans="1:7" ht="10.5" thickBot="1" x14ac:dyDescent="0.25">
      <c r="A696" s="6">
        <f t="shared" si="21"/>
        <v>2012</v>
      </c>
      <c r="B696" s="3" t="s">
        <v>14</v>
      </c>
      <c r="C696" s="3" t="str">
        <f t="shared" si="20"/>
        <v>Abril 2012</v>
      </c>
      <c r="D696" s="20">
        <v>77.423080102192003</v>
      </c>
      <c r="E696" s="7">
        <v>1.4437E-3</v>
      </c>
      <c r="F696" s="7">
        <v>1.6161459999999999E-2</v>
      </c>
      <c r="G696" s="17">
        <v>3.4252190000000002E-2</v>
      </c>
    </row>
    <row r="697" spans="1:7" ht="10.5" thickBot="1" x14ac:dyDescent="0.25">
      <c r="A697" s="6">
        <f t="shared" si="21"/>
        <v>2012</v>
      </c>
      <c r="B697" s="3" t="s">
        <v>15</v>
      </c>
      <c r="C697" s="3" t="str">
        <f t="shared" si="20"/>
        <v>Mayo 2012</v>
      </c>
      <c r="D697" s="20">
        <v>77.655383105388196</v>
      </c>
      <c r="E697" s="7">
        <v>3.0004400000000001E-3</v>
      </c>
      <c r="F697" s="7">
        <v>1.9210390000000001E-2</v>
      </c>
      <c r="G697" s="17">
        <v>3.440928E-2</v>
      </c>
    </row>
    <row r="698" spans="1:7" ht="10.5" thickBot="1" x14ac:dyDescent="0.25">
      <c r="A698" s="6">
        <f t="shared" si="21"/>
        <v>2012</v>
      </c>
      <c r="B698" s="3" t="s">
        <v>16</v>
      </c>
      <c r="C698" s="3" t="str">
        <f t="shared" si="20"/>
        <v>Junio 2012</v>
      </c>
      <c r="D698" s="20">
        <v>77.719670171098898</v>
      </c>
      <c r="E698" s="7">
        <v>8.2784999999999998E-4</v>
      </c>
      <c r="F698" s="7">
        <v>2.0054140000000002E-2</v>
      </c>
      <c r="G698" s="17">
        <v>3.1984829999999999E-2</v>
      </c>
    </row>
    <row r="699" spans="1:7" ht="10.5" thickBot="1" x14ac:dyDescent="0.25">
      <c r="A699" s="6">
        <f t="shared" si="21"/>
        <v>2012</v>
      </c>
      <c r="B699" s="3" t="s">
        <v>5</v>
      </c>
      <c r="C699" s="3" t="str">
        <f t="shared" si="20"/>
        <v>Julio 2012</v>
      </c>
      <c r="D699" s="20">
        <v>77.702887493112001</v>
      </c>
      <c r="E699" s="7">
        <v>-2.1594E-4</v>
      </c>
      <c r="F699" s="7">
        <v>1.983387E-2</v>
      </c>
      <c r="G699" s="17">
        <v>3.0330260000000001E-2</v>
      </c>
    </row>
    <row r="700" spans="1:7" ht="10.5" thickBot="1" x14ac:dyDescent="0.25">
      <c r="A700" s="6">
        <f t="shared" si="21"/>
        <v>2012</v>
      </c>
      <c r="B700" s="3" t="s">
        <v>6</v>
      </c>
      <c r="C700" s="3" t="str">
        <f t="shared" si="20"/>
        <v>Agosto 2012</v>
      </c>
      <c r="D700" s="20">
        <v>77.734755316526105</v>
      </c>
      <c r="E700" s="7">
        <v>4.1012999999999998E-4</v>
      </c>
      <c r="F700" s="7">
        <v>2.025213E-2</v>
      </c>
      <c r="G700" s="17">
        <v>3.1072120000000002E-2</v>
      </c>
    </row>
    <row r="701" spans="1:7" ht="10.5" thickBot="1" x14ac:dyDescent="0.25">
      <c r="A701" s="6">
        <f t="shared" si="21"/>
        <v>2012</v>
      </c>
      <c r="B701" s="3" t="s">
        <v>7</v>
      </c>
      <c r="C701" s="3" t="str">
        <f t="shared" si="20"/>
        <v>Septiembre 2012</v>
      </c>
      <c r="D701" s="20">
        <v>77.957328917440606</v>
      </c>
      <c r="E701" s="7">
        <v>2.8632499999999999E-3</v>
      </c>
      <c r="F701" s="7">
        <v>2.3173369999999999E-2</v>
      </c>
      <c r="G701" s="17">
        <v>3.0841609999999998E-2</v>
      </c>
    </row>
    <row r="702" spans="1:7" ht="10.5" thickBot="1" x14ac:dyDescent="0.25">
      <c r="A702" s="6">
        <f t="shared" si="21"/>
        <v>2012</v>
      </c>
      <c r="B702" s="3" t="s">
        <v>8</v>
      </c>
      <c r="C702" s="3" t="str">
        <f t="shared" si="20"/>
        <v>Octubre 2012</v>
      </c>
      <c r="D702" s="20">
        <v>78.084697605305095</v>
      </c>
      <c r="E702" s="7">
        <v>1.63382E-3</v>
      </c>
      <c r="F702" s="7">
        <v>2.484505E-2</v>
      </c>
      <c r="G702" s="17">
        <v>3.0570150000000001E-2</v>
      </c>
    </row>
    <row r="703" spans="1:7" ht="10.5" thickBot="1" x14ac:dyDescent="0.25">
      <c r="A703" s="6">
        <f t="shared" si="21"/>
        <v>2012</v>
      </c>
      <c r="B703" s="3" t="s">
        <v>9</v>
      </c>
      <c r="C703" s="3" t="str">
        <f t="shared" si="20"/>
        <v>Noviembre 2012</v>
      </c>
      <c r="D703" s="20">
        <v>77.977945003658405</v>
      </c>
      <c r="E703" s="7">
        <v>-1.36714E-3</v>
      </c>
      <c r="F703" s="7">
        <v>2.344394E-2</v>
      </c>
      <c r="G703" s="17">
        <v>2.773111E-2</v>
      </c>
    </row>
    <row r="704" spans="1:7" ht="10.5" thickBot="1" x14ac:dyDescent="0.25">
      <c r="A704" s="8">
        <f t="shared" si="21"/>
        <v>2012</v>
      </c>
      <c r="B704" s="3" t="s">
        <v>10</v>
      </c>
      <c r="C704" s="3" t="str">
        <f t="shared" si="20"/>
        <v>Diciembre 2012</v>
      </c>
      <c r="D704" s="20">
        <v>78.047241605216399</v>
      </c>
      <c r="E704" s="7">
        <v>8.8867000000000004E-4</v>
      </c>
      <c r="F704" s="7">
        <v>2.4353449999999999E-2</v>
      </c>
      <c r="G704" s="17">
        <v>2.4353449999999999E-2</v>
      </c>
    </row>
    <row r="705" spans="1:7" ht="10.5" thickBot="1" x14ac:dyDescent="0.25">
      <c r="A705" s="9">
        <f t="shared" si="21"/>
        <v>2013</v>
      </c>
      <c r="B705" s="10" t="s">
        <v>11</v>
      </c>
      <c r="C705" s="10" t="str">
        <f t="shared" si="20"/>
        <v>Enero 2013</v>
      </c>
      <c r="D705" s="19">
        <v>78.279811941870705</v>
      </c>
      <c r="E705" s="11">
        <v>2.97986E-3</v>
      </c>
      <c r="F705" s="11">
        <v>2.97986E-3</v>
      </c>
      <c r="G705" s="12">
        <v>1.9952919999999999E-2</v>
      </c>
    </row>
    <row r="706" spans="1:7" ht="10.5" thickBot="1" x14ac:dyDescent="0.25">
      <c r="A706" s="13">
        <f t="shared" si="21"/>
        <v>2013</v>
      </c>
      <c r="B706" s="10" t="s">
        <v>12</v>
      </c>
      <c r="C706" s="10" t="str">
        <f t="shared" si="20"/>
        <v>Febrero 2013</v>
      </c>
      <c r="D706" s="19">
        <v>78.627482245254299</v>
      </c>
      <c r="E706" s="11">
        <v>4.44138E-3</v>
      </c>
      <c r="F706" s="11">
        <v>7.4344800000000003E-3</v>
      </c>
      <c r="G706" s="12">
        <v>1.8263689999999999E-2</v>
      </c>
    </row>
    <row r="707" spans="1:7" ht="10.5" thickBot="1" x14ac:dyDescent="0.25">
      <c r="A707" s="13">
        <f t="shared" si="21"/>
        <v>2013</v>
      </c>
      <c r="B707" s="10" t="s">
        <v>13</v>
      </c>
      <c r="C707" s="10" t="str">
        <f t="shared" si="20"/>
        <v>Marzo 2013</v>
      </c>
      <c r="D707" s="19">
        <v>78.789250397402</v>
      </c>
      <c r="E707" s="11">
        <v>2.0574E-3</v>
      </c>
      <c r="F707" s="11">
        <v>9.5071700000000006E-3</v>
      </c>
      <c r="G707" s="12">
        <v>1.9114699999999998E-2</v>
      </c>
    </row>
    <row r="708" spans="1:7" ht="10.5" thickBot="1" x14ac:dyDescent="0.25">
      <c r="A708" s="13">
        <f t="shared" si="21"/>
        <v>2013</v>
      </c>
      <c r="B708" s="10" t="s">
        <v>14</v>
      </c>
      <c r="C708" s="10" t="str">
        <f t="shared" ref="C708:C771" si="22">B708&amp;" "&amp;A708</f>
        <v>Abril 2013</v>
      </c>
      <c r="D708" s="19">
        <v>78.988538067509694</v>
      </c>
      <c r="E708" s="11">
        <v>2.5293799999999999E-3</v>
      </c>
      <c r="F708" s="11">
        <v>1.2060599999999999E-2</v>
      </c>
      <c r="G708" s="12">
        <v>2.0219529999999999E-2</v>
      </c>
    </row>
    <row r="709" spans="1:7" ht="10.5" thickBot="1" x14ac:dyDescent="0.25">
      <c r="A709" s="13">
        <f t="shared" si="21"/>
        <v>2013</v>
      </c>
      <c r="B709" s="10" t="s">
        <v>15</v>
      </c>
      <c r="C709" s="10" t="str">
        <f t="shared" si="22"/>
        <v>Mayo 2013</v>
      </c>
      <c r="D709" s="19">
        <v>79.208688915334406</v>
      </c>
      <c r="E709" s="11">
        <v>2.7871200000000001E-3</v>
      </c>
      <c r="F709" s="11">
        <v>1.488133E-2</v>
      </c>
      <c r="G709" s="12">
        <v>2.0002550000000001E-2</v>
      </c>
    </row>
    <row r="710" spans="1:7" ht="10.5" thickBot="1" x14ac:dyDescent="0.25">
      <c r="A710" s="13">
        <f t="shared" si="21"/>
        <v>2013</v>
      </c>
      <c r="B710" s="10" t="s">
        <v>16</v>
      </c>
      <c r="C710" s="10" t="str">
        <f t="shared" si="22"/>
        <v>Junio 2013</v>
      </c>
      <c r="D710" s="19">
        <v>79.394698558352303</v>
      </c>
      <c r="E710" s="11">
        <v>2.3483499999999999E-3</v>
      </c>
      <c r="F710" s="11">
        <v>1.726463E-2</v>
      </c>
      <c r="G710" s="12">
        <v>2.1552189999999999E-2</v>
      </c>
    </row>
    <row r="711" spans="1:7" ht="10.5" thickBot="1" x14ac:dyDescent="0.25">
      <c r="A711" s="13">
        <f t="shared" si="21"/>
        <v>2013</v>
      </c>
      <c r="B711" s="10" t="s">
        <v>5</v>
      </c>
      <c r="C711" s="10" t="str">
        <f t="shared" si="22"/>
        <v>Julio 2013</v>
      </c>
      <c r="D711" s="19">
        <v>79.430333480131793</v>
      </c>
      <c r="E711" s="11">
        <v>4.4885999999999998E-4</v>
      </c>
      <c r="F711" s="11">
        <v>1.7721250000000001E-2</v>
      </c>
      <c r="G711" s="14">
        <v>2.2231460000000001E-2</v>
      </c>
    </row>
    <row r="712" spans="1:7" ht="10.5" thickBot="1" x14ac:dyDescent="0.25">
      <c r="A712" s="13">
        <f t="shared" si="21"/>
        <v>2013</v>
      </c>
      <c r="B712" s="10" t="s">
        <v>6</v>
      </c>
      <c r="C712" s="10" t="str">
        <f t="shared" si="22"/>
        <v>Agosto 2013</v>
      </c>
      <c r="D712" s="19">
        <v>79.496581921867403</v>
      </c>
      <c r="E712" s="11">
        <v>8.3401999999999999E-4</v>
      </c>
      <c r="F712" s="11">
        <v>1.8570039999999999E-2</v>
      </c>
      <c r="G712" s="14">
        <v>2.26646E-2</v>
      </c>
    </row>
    <row r="713" spans="1:7" ht="10.5" thickBot="1" x14ac:dyDescent="0.25">
      <c r="A713" s="13">
        <f t="shared" si="21"/>
        <v>2013</v>
      </c>
      <c r="B713" s="10" t="s">
        <v>7</v>
      </c>
      <c r="C713" s="10" t="str">
        <f t="shared" si="22"/>
        <v>Septiembre 2013</v>
      </c>
      <c r="D713" s="19">
        <v>79.729436343946006</v>
      </c>
      <c r="E713" s="11">
        <v>2.92911E-3</v>
      </c>
      <c r="F713" s="11">
        <v>2.1553550000000001E-2</v>
      </c>
      <c r="G713" s="14">
        <v>2.273176E-2</v>
      </c>
    </row>
    <row r="714" spans="1:7" ht="10.5" thickBot="1" x14ac:dyDescent="0.25">
      <c r="A714" s="13">
        <f t="shared" si="21"/>
        <v>2013</v>
      </c>
      <c r="B714" s="10" t="s">
        <v>8</v>
      </c>
      <c r="C714" s="10" t="str">
        <f t="shared" si="22"/>
        <v>Octubre 2013</v>
      </c>
      <c r="D714" s="19">
        <v>79.522476273387795</v>
      </c>
      <c r="E714" s="11">
        <v>-2.5957799999999998E-3</v>
      </c>
      <c r="F714" s="11">
        <v>1.890182E-2</v>
      </c>
      <c r="G714" s="14">
        <v>1.8413059999999998E-2</v>
      </c>
    </row>
    <row r="715" spans="1:7" ht="10.5" thickBot="1" x14ac:dyDescent="0.25">
      <c r="A715" s="13">
        <f t="shared" si="21"/>
        <v>2013</v>
      </c>
      <c r="B715" s="10" t="s">
        <v>9</v>
      </c>
      <c r="C715" s="10" t="str">
        <f t="shared" si="22"/>
        <v>Noviembre 2013</v>
      </c>
      <c r="D715" s="19">
        <v>79.350515247897803</v>
      </c>
      <c r="E715" s="11">
        <v>-2.16242E-3</v>
      </c>
      <c r="F715" s="11">
        <v>1.6698520000000001E-2</v>
      </c>
      <c r="G715" s="14">
        <v>1.7602030000000001E-2</v>
      </c>
    </row>
    <row r="716" spans="1:7" ht="10.5" thickBot="1" x14ac:dyDescent="0.25">
      <c r="A716" s="15">
        <f t="shared" si="21"/>
        <v>2013</v>
      </c>
      <c r="B716" s="10" t="s">
        <v>10</v>
      </c>
      <c r="C716" s="10" t="str">
        <f t="shared" si="22"/>
        <v>Diciembre 2013</v>
      </c>
      <c r="D716" s="19">
        <v>79.559653074042302</v>
      </c>
      <c r="E716" s="11">
        <v>2.63562E-3</v>
      </c>
      <c r="F716" s="11">
        <v>1.937815E-2</v>
      </c>
      <c r="G716" s="14">
        <v>1.937815E-2</v>
      </c>
    </row>
    <row r="717" spans="1:7" ht="10.5" thickBot="1" x14ac:dyDescent="0.25">
      <c r="A717" s="16">
        <f t="shared" si="21"/>
        <v>2014</v>
      </c>
      <c r="B717" s="3" t="s">
        <v>11</v>
      </c>
      <c r="C717" s="3" t="str">
        <f t="shared" si="22"/>
        <v>Enero 2014</v>
      </c>
      <c r="D717" s="20">
        <v>79.946510414006298</v>
      </c>
      <c r="E717" s="7">
        <v>4.8624799999999998E-3</v>
      </c>
      <c r="F717" s="7">
        <v>4.8624799999999998E-3</v>
      </c>
      <c r="G717" s="17">
        <v>2.1291549999999999E-2</v>
      </c>
    </row>
    <row r="718" spans="1:7" ht="10.5" thickBot="1" x14ac:dyDescent="0.25">
      <c r="A718" s="6">
        <f t="shared" si="21"/>
        <v>2014</v>
      </c>
      <c r="B718" s="3" t="s">
        <v>12</v>
      </c>
      <c r="C718" s="3" t="str">
        <f t="shared" si="22"/>
        <v>Febrero 2014</v>
      </c>
      <c r="D718" s="20">
        <v>80.450785774001503</v>
      </c>
      <c r="E718" s="7">
        <v>6.3076599999999997E-3</v>
      </c>
      <c r="F718" s="7">
        <v>1.120081E-2</v>
      </c>
      <c r="G718" s="17">
        <v>2.318914E-2</v>
      </c>
    </row>
    <row r="719" spans="1:7" ht="10.5" thickBot="1" x14ac:dyDescent="0.25">
      <c r="A719" s="6">
        <f t="shared" si="21"/>
        <v>2014</v>
      </c>
      <c r="B719" s="3" t="s">
        <v>13</v>
      </c>
      <c r="C719" s="3" t="str">
        <f t="shared" si="22"/>
        <v>Marzo 2014</v>
      </c>
      <c r="D719" s="20">
        <v>80.767915149281706</v>
      </c>
      <c r="E719" s="7">
        <v>3.9418999999999999E-3</v>
      </c>
      <c r="F719" s="7">
        <v>1.518687E-2</v>
      </c>
      <c r="G719" s="17">
        <v>2.5113380000000001E-2</v>
      </c>
    </row>
    <row r="720" spans="1:7" ht="10.5" thickBot="1" x14ac:dyDescent="0.25">
      <c r="A720" s="6">
        <f t="shared" si="21"/>
        <v>2014</v>
      </c>
      <c r="B720" s="3" t="s">
        <v>14</v>
      </c>
      <c r="C720" s="3" t="str">
        <f t="shared" si="22"/>
        <v>Abril 2014</v>
      </c>
      <c r="D720" s="20">
        <v>81.137598234052405</v>
      </c>
      <c r="E720" s="7">
        <v>4.5771099999999997E-3</v>
      </c>
      <c r="F720" s="7">
        <v>1.9833489999999999E-2</v>
      </c>
      <c r="G720" s="17">
        <v>2.7207240000000001E-2</v>
      </c>
    </row>
    <row r="721" spans="1:7" ht="10.5" thickBot="1" x14ac:dyDescent="0.25">
      <c r="A721" s="6">
        <f t="shared" si="21"/>
        <v>2014</v>
      </c>
      <c r="B721" s="3" t="s">
        <v>15</v>
      </c>
      <c r="C721" s="3" t="str">
        <f t="shared" si="22"/>
        <v>Mayo 2014</v>
      </c>
      <c r="D721" s="20">
        <v>81.530110060556595</v>
      </c>
      <c r="E721" s="7">
        <v>4.8376000000000001E-3</v>
      </c>
      <c r="F721" s="7">
        <v>2.4767040000000001E-2</v>
      </c>
      <c r="G721" s="17">
        <v>2.9307659999999999E-2</v>
      </c>
    </row>
    <row r="722" spans="1:7" ht="10.5" thickBot="1" x14ac:dyDescent="0.25">
      <c r="A722" s="6">
        <f t="shared" si="21"/>
        <v>2014</v>
      </c>
      <c r="B722" s="3" t="s">
        <v>16</v>
      </c>
      <c r="C722" s="3" t="str">
        <f t="shared" si="22"/>
        <v>Junio 2014</v>
      </c>
      <c r="D722" s="20">
        <v>81.606092092565305</v>
      </c>
      <c r="E722" s="7">
        <v>9.3196000000000001E-4</v>
      </c>
      <c r="F722" s="7">
        <v>2.572207E-2</v>
      </c>
      <c r="G722" s="17">
        <v>2.7853159999999998E-2</v>
      </c>
    </row>
    <row r="723" spans="1:7" ht="10.5" thickBot="1" x14ac:dyDescent="0.25">
      <c r="A723" s="6">
        <f t="shared" si="21"/>
        <v>2014</v>
      </c>
      <c r="B723" s="3" t="s">
        <v>5</v>
      </c>
      <c r="C723" s="3" t="str">
        <f t="shared" si="22"/>
        <v>Julio 2014</v>
      </c>
      <c r="D723" s="20">
        <v>81.7295589683374</v>
      </c>
      <c r="E723" s="7">
        <v>1.51296E-3</v>
      </c>
      <c r="F723" s="7">
        <v>2.7273950000000002E-2</v>
      </c>
      <c r="G723" s="17">
        <v>2.8946409999999999E-2</v>
      </c>
    </row>
    <row r="724" spans="1:7" ht="10.5" thickBot="1" x14ac:dyDescent="0.25">
      <c r="A724" s="6">
        <f t="shared" si="21"/>
        <v>2014</v>
      </c>
      <c r="B724" s="3" t="s">
        <v>6</v>
      </c>
      <c r="C724" s="3" t="str">
        <f t="shared" si="22"/>
        <v>Agosto 2014</v>
      </c>
      <c r="D724" s="20">
        <v>81.895607247810702</v>
      </c>
      <c r="E724" s="7">
        <v>2.0316800000000001E-3</v>
      </c>
      <c r="F724" s="7">
        <v>2.9361040000000001E-2</v>
      </c>
      <c r="G724" s="17">
        <v>3.0177720000000002E-2</v>
      </c>
    </row>
    <row r="725" spans="1:7" ht="10.5" thickBot="1" x14ac:dyDescent="0.25">
      <c r="A725" s="6">
        <f t="shared" si="21"/>
        <v>2014</v>
      </c>
      <c r="B725" s="3" t="s">
        <v>7</v>
      </c>
      <c r="C725" s="3" t="str">
        <f t="shared" si="22"/>
        <v>Septiembre 2014</v>
      </c>
      <c r="D725" s="20">
        <v>82.006862638331697</v>
      </c>
      <c r="E725" s="7">
        <v>1.3584999999999999E-3</v>
      </c>
      <c r="F725" s="7">
        <v>3.0759430000000001E-2</v>
      </c>
      <c r="G725" s="17">
        <v>2.8564429999999998E-2</v>
      </c>
    </row>
    <row r="726" spans="1:7" ht="10.5" thickBot="1" x14ac:dyDescent="0.25">
      <c r="A726" s="6">
        <f t="shared" ref="A726:A789" si="23">A714+1</f>
        <v>2014</v>
      </c>
      <c r="B726" s="3" t="s">
        <v>8</v>
      </c>
      <c r="C726" s="3" t="str">
        <f t="shared" si="22"/>
        <v>Octubre 2014</v>
      </c>
      <c r="D726" s="20">
        <v>82.142004936441495</v>
      </c>
      <c r="E726" s="7">
        <v>1.6479400000000001E-3</v>
      </c>
      <c r="F726" s="7">
        <v>3.2458059999999997E-2</v>
      </c>
      <c r="G726" s="17">
        <v>3.2940730000000001E-2</v>
      </c>
    </row>
    <row r="727" spans="1:7" ht="10.5" thickBot="1" x14ac:dyDescent="0.25">
      <c r="A727" s="6">
        <f t="shared" si="23"/>
        <v>2014</v>
      </c>
      <c r="B727" s="3" t="s">
        <v>9</v>
      </c>
      <c r="C727" s="3" t="str">
        <f t="shared" si="22"/>
        <v>Noviembre 2014</v>
      </c>
      <c r="D727" s="20">
        <v>82.250267309028303</v>
      </c>
      <c r="E727" s="7">
        <v>1.31799E-3</v>
      </c>
      <c r="F727" s="7">
        <v>3.3818830000000001E-2</v>
      </c>
      <c r="G727" s="17">
        <v>3.6543579999999999E-2</v>
      </c>
    </row>
    <row r="728" spans="1:7" ht="10.5" thickBot="1" x14ac:dyDescent="0.25">
      <c r="A728" s="8">
        <f t="shared" si="23"/>
        <v>2014</v>
      </c>
      <c r="B728" s="3" t="s">
        <v>10</v>
      </c>
      <c r="C728" s="3" t="str">
        <f t="shared" si="22"/>
        <v>Diciembre 2014</v>
      </c>
      <c r="D728" s="20">
        <v>82.469690144328396</v>
      </c>
      <c r="E728" s="7">
        <v>2.66775E-3</v>
      </c>
      <c r="F728" s="7">
        <v>3.65768E-2</v>
      </c>
      <c r="G728" s="17">
        <v>3.65768E-2</v>
      </c>
    </row>
    <row r="729" spans="1:7" ht="10.5" thickBot="1" x14ac:dyDescent="0.25">
      <c r="A729" s="9">
        <f t="shared" si="23"/>
        <v>2015</v>
      </c>
      <c r="B729" s="10" t="s">
        <v>11</v>
      </c>
      <c r="C729" s="10" t="str">
        <f t="shared" si="22"/>
        <v>Enero 2015</v>
      </c>
      <c r="D729" s="19">
        <v>83.001032493467505</v>
      </c>
      <c r="E729" s="11">
        <v>6.4428799999999998E-3</v>
      </c>
      <c r="F729" s="11">
        <v>6.4428799999999998E-3</v>
      </c>
      <c r="G729" s="14">
        <v>3.8207079999999997E-2</v>
      </c>
    </row>
    <row r="730" spans="1:7" ht="10.5" thickBot="1" x14ac:dyDescent="0.25">
      <c r="A730" s="13">
        <f t="shared" si="23"/>
        <v>2015</v>
      </c>
      <c r="B730" s="10" t="s">
        <v>12</v>
      </c>
      <c r="C730" s="10" t="str">
        <f t="shared" si="22"/>
        <v>Febrero 2015</v>
      </c>
      <c r="D730" s="19">
        <v>83.955218895637003</v>
      </c>
      <c r="E730" s="11">
        <v>1.1496080000000001E-2</v>
      </c>
      <c r="F730" s="11">
        <v>1.8013020000000001E-2</v>
      </c>
      <c r="G730" s="14">
        <v>4.3559960000000002E-2</v>
      </c>
    </row>
    <row r="731" spans="1:7" ht="10.5" thickBot="1" x14ac:dyDescent="0.25">
      <c r="A731" s="13">
        <f t="shared" si="23"/>
        <v>2015</v>
      </c>
      <c r="B731" s="10" t="s">
        <v>13</v>
      </c>
      <c r="C731" s="10" t="str">
        <f t="shared" si="22"/>
        <v>Marzo 2015</v>
      </c>
      <c r="D731" s="19">
        <v>84.447054524843594</v>
      </c>
      <c r="E731" s="11">
        <v>5.8583100000000003E-3</v>
      </c>
      <c r="F731" s="11">
        <v>2.3976859999999999E-2</v>
      </c>
      <c r="G731" s="14">
        <v>4.5552000000000002E-2</v>
      </c>
    </row>
    <row r="732" spans="1:7" ht="10.5" thickBot="1" x14ac:dyDescent="0.25">
      <c r="A732" s="13">
        <f t="shared" si="23"/>
        <v>2015</v>
      </c>
      <c r="B732" s="10" t="s">
        <v>14</v>
      </c>
      <c r="C732" s="10" t="str">
        <f t="shared" si="22"/>
        <v>Abril 2015</v>
      </c>
      <c r="D732" s="19">
        <v>84.900615401620797</v>
      </c>
      <c r="E732" s="11">
        <v>5.3709500000000002E-3</v>
      </c>
      <c r="F732" s="11">
        <v>2.947659E-2</v>
      </c>
      <c r="G732" s="14">
        <v>4.6378219999999998E-2</v>
      </c>
    </row>
    <row r="733" spans="1:7" ht="10.5" thickBot="1" x14ac:dyDescent="0.25">
      <c r="A733" s="13">
        <f t="shared" si="23"/>
        <v>2015</v>
      </c>
      <c r="B733" s="10" t="s">
        <v>15</v>
      </c>
      <c r="C733" s="10" t="str">
        <f t="shared" si="22"/>
        <v>Mayo 2015</v>
      </c>
      <c r="D733" s="19">
        <v>85.123952612987694</v>
      </c>
      <c r="E733" s="11">
        <v>2.63057E-3</v>
      </c>
      <c r="F733" s="11">
        <v>3.2184699999999997E-2</v>
      </c>
      <c r="G733" s="14">
        <v>4.4079939999999998E-2</v>
      </c>
    </row>
    <row r="734" spans="1:7" ht="10.5" thickBot="1" x14ac:dyDescent="0.25">
      <c r="A734" s="13">
        <f t="shared" si="23"/>
        <v>2015</v>
      </c>
      <c r="B734" s="10" t="s">
        <v>16</v>
      </c>
      <c r="C734" s="10" t="str">
        <f t="shared" si="22"/>
        <v>Junio 2015</v>
      </c>
      <c r="D734" s="19">
        <v>85.213311787885303</v>
      </c>
      <c r="E734" s="11">
        <v>1.0497600000000001E-3</v>
      </c>
      <c r="F734" s="11">
        <v>3.3268239999999998E-2</v>
      </c>
      <c r="G734" s="14">
        <v>4.4202819999999997E-2</v>
      </c>
    </row>
    <row r="735" spans="1:7" ht="10.5" thickBot="1" x14ac:dyDescent="0.25">
      <c r="A735" s="13">
        <f t="shared" si="23"/>
        <v>2015</v>
      </c>
      <c r="B735" s="10" t="s">
        <v>5</v>
      </c>
      <c r="C735" s="10" t="str">
        <f t="shared" si="22"/>
        <v>Julio 2015</v>
      </c>
      <c r="D735" s="19">
        <v>85.371164167968999</v>
      </c>
      <c r="E735" s="11">
        <v>1.8524399999999999E-3</v>
      </c>
      <c r="F735" s="11">
        <v>3.5182310000000001E-2</v>
      </c>
      <c r="G735" s="14">
        <v>4.4556779999999997E-2</v>
      </c>
    </row>
    <row r="736" spans="1:7" ht="10.5" thickBot="1" x14ac:dyDescent="0.25">
      <c r="A736" s="13">
        <f t="shared" si="23"/>
        <v>2015</v>
      </c>
      <c r="B736" s="10" t="s">
        <v>6</v>
      </c>
      <c r="C736" s="10" t="str">
        <f t="shared" si="22"/>
        <v>Agosto 2015</v>
      </c>
      <c r="D736" s="19">
        <v>85.780961929440096</v>
      </c>
      <c r="E736" s="11">
        <v>4.8001700000000003E-3</v>
      </c>
      <c r="F736" s="11">
        <v>4.0151369999999999E-2</v>
      </c>
      <c r="G736" s="14">
        <v>4.744276E-2</v>
      </c>
    </row>
    <row r="737" spans="1:7" ht="10.5" thickBot="1" x14ac:dyDescent="0.25">
      <c r="A737" s="13">
        <f t="shared" si="23"/>
        <v>2015</v>
      </c>
      <c r="B737" s="10" t="s">
        <v>7</v>
      </c>
      <c r="C737" s="10" t="str">
        <f t="shared" si="22"/>
        <v>Septiembre 2015</v>
      </c>
      <c r="D737" s="19">
        <v>86.394781885423498</v>
      </c>
      <c r="E737" s="11">
        <v>7.1556399999999996E-3</v>
      </c>
      <c r="F737" s="11">
        <v>4.7594320000000002E-2</v>
      </c>
      <c r="G737" s="14">
        <v>5.3506699999999997E-2</v>
      </c>
    </row>
    <row r="738" spans="1:7" ht="10.5" thickBot="1" x14ac:dyDescent="0.25">
      <c r="A738" s="13">
        <f t="shared" si="23"/>
        <v>2015</v>
      </c>
      <c r="B738" s="10" t="s">
        <v>8</v>
      </c>
      <c r="C738" s="10" t="str">
        <f t="shared" si="22"/>
        <v>Octubre 2015</v>
      </c>
      <c r="D738" s="19">
        <v>86.984086735091097</v>
      </c>
      <c r="E738" s="11">
        <v>6.82111E-3</v>
      </c>
      <c r="F738" s="11">
        <v>5.4740070000000002E-2</v>
      </c>
      <c r="G738" s="14">
        <v>5.8947699999999999E-2</v>
      </c>
    </row>
    <row r="739" spans="1:7" ht="10.5" thickBot="1" x14ac:dyDescent="0.25">
      <c r="A739" s="13">
        <f t="shared" si="23"/>
        <v>2015</v>
      </c>
      <c r="B739" s="10" t="s">
        <v>9</v>
      </c>
      <c r="C739" s="10" t="str">
        <f t="shared" si="22"/>
        <v>Noviembre 2015</v>
      </c>
      <c r="D739" s="19">
        <v>87.5086026580652</v>
      </c>
      <c r="E739" s="11">
        <v>6.0300199999999997E-3</v>
      </c>
      <c r="F739" s="11">
        <v>6.1100170000000002E-2</v>
      </c>
      <c r="G739" s="14">
        <v>6.3930920000000002E-2</v>
      </c>
    </row>
    <row r="740" spans="1:7" ht="10.5" thickBot="1" x14ac:dyDescent="0.25">
      <c r="A740" s="15">
        <f t="shared" si="23"/>
        <v>2015</v>
      </c>
      <c r="B740" s="10" t="s">
        <v>10</v>
      </c>
      <c r="C740" s="10" t="str">
        <f t="shared" si="22"/>
        <v>Diciembre 2015</v>
      </c>
      <c r="D740" s="19">
        <v>88.052136948495104</v>
      </c>
      <c r="E740" s="11">
        <v>6.21121E-3</v>
      </c>
      <c r="F740" s="11">
        <v>6.7690890000000004E-2</v>
      </c>
      <c r="G740" s="14">
        <v>6.7690890000000004E-2</v>
      </c>
    </row>
    <row r="741" spans="1:7" ht="10.5" thickBot="1" x14ac:dyDescent="0.25">
      <c r="A741" s="16">
        <f t="shared" si="23"/>
        <v>2016</v>
      </c>
      <c r="B741" s="3" t="s">
        <v>11</v>
      </c>
      <c r="C741" s="3" t="str">
        <f t="shared" si="22"/>
        <v>Enero 2016</v>
      </c>
      <c r="D741" s="20">
        <v>89.188544257361102</v>
      </c>
      <c r="E741" s="7">
        <v>1.290607E-2</v>
      </c>
      <c r="F741" s="7">
        <v>1.290607E-2</v>
      </c>
      <c r="G741" s="17">
        <v>7.45474E-2</v>
      </c>
    </row>
    <row r="742" spans="1:7" ht="10.5" thickBot="1" x14ac:dyDescent="0.25">
      <c r="A742" s="6">
        <f t="shared" si="23"/>
        <v>2016</v>
      </c>
      <c r="B742" s="3" t="s">
        <v>12</v>
      </c>
      <c r="C742" s="3" t="str">
        <f t="shared" si="22"/>
        <v>Febrero 2016</v>
      </c>
      <c r="D742" s="20">
        <v>90.329817314365897</v>
      </c>
      <c r="E742" s="7">
        <v>1.2796190000000001E-2</v>
      </c>
      <c r="F742" s="7">
        <v>2.586741E-2</v>
      </c>
      <c r="G742" s="17">
        <v>7.5928560000000006E-2</v>
      </c>
    </row>
    <row r="743" spans="1:7" ht="10.5" thickBot="1" x14ac:dyDescent="0.25">
      <c r="A743" s="6">
        <f t="shared" si="23"/>
        <v>2016</v>
      </c>
      <c r="B743" s="3" t="s">
        <v>13</v>
      </c>
      <c r="C743" s="3" t="str">
        <f t="shared" si="22"/>
        <v>Marzo 2016</v>
      </c>
      <c r="D743" s="20">
        <v>91.182242502772795</v>
      </c>
      <c r="E743" s="7">
        <v>9.4368100000000003E-3</v>
      </c>
      <c r="F743" s="7">
        <v>3.5548320000000001E-2</v>
      </c>
      <c r="G743" s="17">
        <v>7.9756339999999995E-2</v>
      </c>
    </row>
    <row r="744" spans="1:7" ht="10.5" thickBot="1" x14ac:dyDescent="0.25">
      <c r="A744" s="6">
        <f t="shared" si="23"/>
        <v>2016</v>
      </c>
      <c r="B744" s="3" t="s">
        <v>14</v>
      </c>
      <c r="C744" s="3" t="str">
        <f t="shared" si="22"/>
        <v>Abril 2016</v>
      </c>
      <c r="D744" s="20">
        <v>91.634595841997296</v>
      </c>
      <c r="E744" s="7">
        <v>4.9609800000000003E-3</v>
      </c>
      <c r="F744" s="7">
        <v>4.0685649999999997E-2</v>
      </c>
      <c r="G744" s="17">
        <v>7.9316040000000004E-2</v>
      </c>
    </row>
    <row r="745" spans="1:7" ht="10.5" thickBot="1" x14ac:dyDescent="0.25">
      <c r="A745" s="6">
        <f t="shared" si="23"/>
        <v>2016</v>
      </c>
      <c r="B745" s="3" t="s">
        <v>15</v>
      </c>
      <c r="C745" s="3" t="str">
        <f t="shared" si="22"/>
        <v>Mayo 2016</v>
      </c>
      <c r="D745" s="20">
        <v>92.101740469244703</v>
      </c>
      <c r="E745" s="7">
        <v>5.0979099999999998E-3</v>
      </c>
      <c r="F745" s="7">
        <v>4.5990969999999999E-2</v>
      </c>
      <c r="G745" s="17">
        <v>8.1972089999999997E-2</v>
      </c>
    </row>
    <row r="746" spans="1:7" ht="10.5" thickBot="1" x14ac:dyDescent="0.25">
      <c r="A746" s="6">
        <f t="shared" si="23"/>
        <v>2016</v>
      </c>
      <c r="B746" s="3" t="s">
        <v>16</v>
      </c>
      <c r="C746" s="3" t="str">
        <f t="shared" si="22"/>
        <v>Junio 2016</v>
      </c>
      <c r="D746" s="20">
        <v>92.543524713889397</v>
      </c>
      <c r="E746" s="7">
        <v>4.7967000000000001E-3</v>
      </c>
      <c r="F746" s="7">
        <v>5.1008280000000003E-2</v>
      </c>
      <c r="G746" s="17">
        <v>8.6021920000000002E-2</v>
      </c>
    </row>
    <row r="747" spans="1:7" ht="10.5" thickBot="1" x14ac:dyDescent="0.25">
      <c r="A747" s="6">
        <f t="shared" si="23"/>
        <v>2016</v>
      </c>
      <c r="B747" s="3" t="s">
        <v>5</v>
      </c>
      <c r="C747" s="3" t="str">
        <f t="shared" si="22"/>
        <v>Julio 2016</v>
      </c>
      <c r="D747" s="20">
        <v>93.024731220637804</v>
      </c>
      <c r="E747" s="7">
        <v>5.1997800000000002E-3</v>
      </c>
      <c r="F747" s="7">
        <v>5.6473290000000002E-2</v>
      </c>
      <c r="G747" s="17">
        <v>8.9650489999999999E-2</v>
      </c>
    </row>
    <row r="748" spans="1:7" ht="10.5" thickBot="1" x14ac:dyDescent="0.25">
      <c r="A748" s="6">
        <f t="shared" si="23"/>
        <v>2016</v>
      </c>
      <c r="B748" s="3" t="s">
        <v>6</v>
      </c>
      <c r="C748" s="3" t="str">
        <f t="shared" si="22"/>
        <v>Agosto 2016</v>
      </c>
      <c r="D748" s="20">
        <v>92.727131147777897</v>
      </c>
      <c r="E748" s="7">
        <v>-3.19915E-3</v>
      </c>
      <c r="F748" s="7">
        <v>5.3093479999999998E-2</v>
      </c>
      <c r="G748" s="17">
        <v>8.0975660000000005E-2</v>
      </c>
    </row>
    <row r="749" spans="1:7" ht="10.5" thickBot="1" x14ac:dyDescent="0.25">
      <c r="A749" s="6">
        <f t="shared" si="23"/>
        <v>2016</v>
      </c>
      <c r="B749" s="3" t="s">
        <v>7</v>
      </c>
      <c r="C749" s="3" t="str">
        <f t="shared" si="22"/>
        <v>Septiembre 2016</v>
      </c>
      <c r="D749" s="20">
        <v>92.678143513060107</v>
      </c>
      <c r="E749" s="7">
        <v>-5.2829999999999999E-4</v>
      </c>
      <c r="F749" s="7">
        <v>5.2537130000000001E-2</v>
      </c>
      <c r="G749" s="17">
        <v>7.2728520000000005E-2</v>
      </c>
    </row>
    <row r="750" spans="1:7" ht="10.5" thickBot="1" x14ac:dyDescent="0.25">
      <c r="A750" s="6">
        <f t="shared" si="23"/>
        <v>2016</v>
      </c>
      <c r="B750" s="3" t="s">
        <v>8</v>
      </c>
      <c r="C750" s="3" t="str">
        <f t="shared" si="22"/>
        <v>Octubre 2016</v>
      </c>
      <c r="D750" s="20">
        <v>92.622628195571906</v>
      </c>
      <c r="E750" s="7">
        <v>-5.9900999999999997E-4</v>
      </c>
      <c r="F750" s="7">
        <v>5.1906649999999999E-2</v>
      </c>
      <c r="G750" s="17">
        <v>6.4822679999999994E-2</v>
      </c>
    </row>
    <row r="751" spans="1:7" ht="10.5" thickBot="1" x14ac:dyDescent="0.25">
      <c r="A751" s="6">
        <f t="shared" si="23"/>
        <v>2016</v>
      </c>
      <c r="B751" s="3" t="s">
        <v>9</v>
      </c>
      <c r="C751" s="3" t="str">
        <f t="shared" si="22"/>
        <v>Noviembre 2016</v>
      </c>
      <c r="D751" s="20">
        <v>92.726306113449994</v>
      </c>
      <c r="E751" s="7">
        <v>1.11936E-3</v>
      </c>
      <c r="F751" s="7">
        <v>5.3084109999999997E-2</v>
      </c>
      <c r="G751" s="17">
        <v>5.9625030000000002E-2</v>
      </c>
    </row>
    <row r="752" spans="1:7" ht="10.5" thickBot="1" x14ac:dyDescent="0.25">
      <c r="A752" s="8">
        <f t="shared" si="23"/>
        <v>2016</v>
      </c>
      <c r="B752" s="3" t="s">
        <v>10</v>
      </c>
      <c r="C752" s="3" t="str">
        <f t="shared" si="22"/>
        <v>Diciembre 2016</v>
      </c>
      <c r="D752" s="20">
        <v>93.112852844043502</v>
      </c>
      <c r="E752" s="7">
        <v>4.1686900000000001E-3</v>
      </c>
      <c r="F752" s="7">
        <v>5.7474079999999997E-2</v>
      </c>
      <c r="G752" s="17">
        <v>5.7474079999999997E-2</v>
      </c>
    </row>
    <row r="753" spans="1:7" ht="10.5" thickBot="1" x14ac:dyDescent="0.25">
      <c r="A753" s="9">
        <f t="shared" si="23"/>
        <v>2017</v>
      </c>
      <c r="B753" s="10" t="s">
        <v>11</v>
      </c>
      <c r="C753" s="10" t="str">
        <f t="shared" si="22"/>
        <v>Enero 2017</v>
      </c>
      <c r="D753" s="19">
        <v>94.066435477436599</v>
      </c>
      <c r="E753" s="11">
        <v>1.0241139999999999E-2</v>
      </c>
      <c r="F753" s="11">
        <v>1.0241139999999999E-2</v>
      </c>
      <c r="G753" s="14">
        <v>5.469189E-2</v>
      </c>
    </row>
    <row r="754" spans="1:7" ht="10.5" thickBot="1" x14ac:dyDescent="0.25">
      <c r="A754" s="13">
        <f t="shared" si="23"/>
        <v>2017</v>
      </c>
      <c r="B754" s="10" t="s">
        <v>12</v>
      </c>
      <c r="C754" s="10" t="str">
        <f t="shared" si="22"/>
        <v>Febrero 2017</v>
      </c>
      <c r="D754" s="19">
        <v>95.012497176072301</v>
      </c>
      <c r="E754" s="11">
        <v>1.0057389999999999E-2</v>
      </c>
      <c r="F754" s="11">
        <v>2.0401530000000001E-2</v>
      </c>
      <c r="G754" s="14">
        <v>5.1839799999999998E-2</v>
      </c>
    </row>
    <row r="755" spans="1:7" ht="10.5" thickBot="1" x14ac:dyDescent="0.25">
      <c r="A755" s="13">
        <f t="shared" si="23"/>
        <v>2017</v>
      </c>
      <c r="B755" s="10" t="s">
        <v>13</v>
      </c>
      <c r="C755" s="10" t="str">
        <f t="shared" si="22"/>
        <v>Marzo 2017</v>
      </c>
      <c r="D755" s="19">
        <v>95.455093891070305</v>
      </c>
      <c r="E755" s="11">
        <v>4.6582999999999998E-3</v>
      </c>
      <c r="F755" s="11">
        <v>2.5154869999999999E-2</v>
      </c>
      <c r="G755" s="14">
        <v>4.6860569999999997E-2</v>
      </c>
    </row>
    <row r="756" spans="1:7" ht="10.5" thickBot="1" x14ac:dyDescent="0.25">
      <c r="A756" s="13">
        <f t="shared" si="23"/>
        <v>2017</v>
      </c>
      <c r="B756" s="10" t="s">
        <v>14</v>
      </c>
      <c r="C756" s="10" t="str">
        <f t="shared" si="22"/>
        <v>Abril 2017</v>
      </c>
      <c r="D756" s="19">
        <v>95.907287388618798</v>
      </c>
      <c r="E756" s="11">
        <v>4.7372300000000003E-3</v>
      </c>
      <c r="F756" s="11">
        <v>3.0011260000000001E-2</v>
      </c>
      <c r="G756" s="14">
        <v>4.6627490000000001E-2</v>
      </c>
    </row>
    <row r="757" spans="1:7" ht="10.5" thickBot="1" x14ac:dyDescent="0.25">
      <c r="A757" s="13">
        <f t="shared" si="23"/>
        <v>2017</v>
      </c>
      <c r="B757" s="10" t="s">
        <v>15</v>
      </c>
      <c r="C757" s="10" t="str">
        <f t="shared" si="22"/>
        <v>Mayo 2017</v>
      </c>
      <c r="D757" s="19">
        <v>96.123383562661004</v>
      </c>
      <c r="E757" s="11">
        <v>2.25318E-3</v>
      </c>
      <c r="F757" s="11">
        <v>3.2332060000000003E-2</v>
      </c>
      <c r="G757" s="14">
        <v>4.3665219999999998E-2</v>
      </c>
    </row>
    <row r="758" spans="1:7" ht="10.5" thickBot="1" x14ac:dyDescent="0.25">
      <c r="A758" s="13">
        <f t="shared" si="23"/>
        <v>2017</v>
      </c>
      <c r="B758" s="10" t="s">
        <v>16</v>
      </c>
      <c r="C758" s="10" t="str">
        <f t="shared" si="22"/>
        <v>Junio 2017</v>
      </c>
      <c r="D758" s="19">
        <v>96.233580089327901</v>
      </c>
      <c r="E758" s="11">
        <v>1.1464100000000001E-3</v>
      </c>
      <c r="F758" s="11">
        <v>3.3515540000000003E-2</v>
      </c>
      <c r="G758" s="14">
        <v>3.9873730000000003E-2</v>
      </c>
    </row>
    <row r="759" spans="1:7" ht="10.5" thickBot="1" x14ac:dyDescent="0.25">
      <c r="A759" s="13">
        <f t="shared" si="23"/>
        <v>2017</v>
      </c>
      <c r="B759" s="10" t="s">
        <v>5</v>
      </c>
      <c r="C759" s="10" t="str">
        <f t="shared" si="22"/>
        <v>Julio 2017</v>
      </c>
      <c r="D759" s="19">
        <v>96.184355135091195</v>
      </c>
      <c r="E759" s="11">
        <v>-5.1150999999999996E-4</v>
      </c>
      <c r="F759" s="11">
        <v>3.2986880000000003E-2</v>
      </c>
      <c r="G759" s="14">
        <v>3.3965420000000003E-2</v>
      </c>
    </row>
    <row r="760" spans="1:7" ht="10.5" thickBot="1" x14ac:dyDescent="0.25">
      <c r="A760" s="13">
        <f t="shared" si="23"/>
        <v>2017</v>
      </c>
      <c r="B760" s="10" t="s">
        <v>6</v>
      </c>
      <c r="C760" s="10" t="str">
        <f t="shared" si="22"/>
        <v>Agosto 2017</v>
      </c>
      <c r="D760" s="19">
        <v>96.319067466072397</v>
      </c>
      <c r="E760" s="11">
        <v>1.4005700000000001E-3</v>
      </c>
      <c r="F760" s="11">
        <v>3.4433650000000003E-2</v>
      </c>
      <c r="G760" s="14">
        <v>3.8736630000000001E-2</v>
      </c>
    </row>
    <row r="761" spans="1:7" ht="10.5" thickBot="1" x14ac:dyDescent="0.25">
      <c r="A761" s="13">
        <f t="shared" si="23"/>
        <v>2017</v>
      </c>
      <c r="B761" s="10" t="s">
        <v>7</v>
      </c>
      <c r="C761" s="10" t="str">
        <f t="shared" si="22"/>
        <v>Septiembre 2017</v>
      </c>
      <c r="D761" s="19">
        <v>96.357860133452107</v>
      </c>
      <c r="E761" s="11">
        <v>4.0275E-4</v>
      </c>
      <c r="F761" s="11">
        <v>3.4850260000000001E-2</v>
      </c>
      <c r="G761" s="14">
        <v>3.9704259999999998E-2</v>
      </c>
    </row>
    <row r="762" spans="1:7" ht="10.5" thickBot="1" x14ac:dyDescent="0.25">
      <c r="A762" s="13">
        <f t="shared" si="23"/>
        <v>2017</v>
      </c>
      <c r="B762" s="10" t="s">
        <v>8</v>
      </c>
      <c r="C762" s="10" t="str">
        <f t="shared" si="22"/>
        <v>Octubre 2017</v>
      </c>
      <c r="D762" s="19">
        <v>96.373970638801197</v>
      </c>
      <c r="E762" s="11">
        <v>1.672E-4</v>
      </c>
      <c r="F762" s="11">
        <v>3.5023289999999999E-2</v>
      </c>
      <c r="G762" s="14">
        <v>4.050136E-2</v>
      </c>
    </row>
    <row r="763" spans="1:7" ht="10.5" thickBot="1" x14ac:dyDescent="0.25">
      <c r="A763" s="13">
        <f t="shared" si="23"/>
        <v>2017</v>
      </c>
      <c r="B763" s="10" t="s">
        <v>9</v>
      </c>
      <c r="C763" s="10" t="str">
        <f t="shared" si="22"/>
        <v>Noviembre 2017</v>
      </c>
      <c r="D763" s="19">
        <v>96.548251811589097</v>
      </c>
      <c r="E763" s="11">
        <v>1.8083800000000001E-3</v>
      </c>
      <c r="F763" s="11">
        <v>3.6894999999999997E-2</v>
      </c>
      <c r="G763" s="14">
        <v>4.1217490000000002E-2</v>
      </c>
    </row>
    <row r="764" spans="1:7" ht="10.5" thickBot="1" x14ac:dyDescent="0.25">
      <c r="A764" s="13">
        <f t="shared" si="23"/>
        <v>2017</v>
      </c>
      <c r="B764" s="10" t="s">
        <v>10</v>
      </c>
      <c r="C764" s="10" t="str">
        <f t="shared" si="22"/>
        <v>Diciembre 2017</v>
      </c>
      <c r="D764" s="19">
        <v>96.9198851044073</v>
      </c>
      <c r="E764" s="11">
        <v>3.8492000000000001E-3</v>
      </c>
      <c r="F764" s="11">
        <v>4.0886220000000001E-2</v>
      </c>
      <c r="G764" s="14">
        <v>4.0886220000000001E-2</v>
      </c>
    </row>
    <row r="765" spans="1:7" ht="10.5" thickBot="1" x14ac:dyDescent="0.25">
      <c r="A765" s="8">
        <f t="shared" si="23"/>
        <v>2018</v>
      </c>
      <c r="B765" s="3" t="s">
        <v>11</v>
      </c>
      <c r="C765" s="3" t="str">
        <f t="shared" si="22"/>
        <v>Enero 2018</v>
      </c>
      <c r="D765" s="20">
        <v>97.527634566693607</v>
      </c>
      <c r="E765" s="7">
        <v>6.2706400000000001E-3</v>
      </c>
      <c r="F765" s="7">
        <v>6.2706400000000001E-3</v>
      </c>
      <c r="G765" s="17">
        <v>3.679528E-2</v>
      </c>
    </row>
    <row r="766" spans="1:7" ht="10.5" thickBot="1" x14ac:dyDescent="0.25">
      <c r="A766" s="8">
        <f t="shared" si="23"/>
        <v>2018</v>
      </c>
      <c r="B766" s="3" t="s">
        <v>12</v>
      </c>
      <c r="C766" s="3" t="str">
        <f t="shared" si="22"/>
        <v>Febrero 2018</v>
      </c>
      <c r="D766" s="20">
        <v>98.216431436722701</v>
      </c>
      <c r="E766" s="7">
        <v>7.0625799999999997E-3</v>
      </c>
      <c r="F766" s="7">
        <v>1.337751E-2</v>
      </c>
      <c r="G766" s="17">
        <v>3.3721189999999998E-2</v>
      </c>
    </row>
    <row r="767" spans="1:7" ht="10.5" thickBot="1" x14ac:dyDescent="0.25">
      <c r="A767" s="8">
        <f t="shared" si="23"/>
        <v>2018</v>
      </c>
      <c r="B767" s="3" t="s">
        <v>13</v>
      </c>
      <c r="C767" s="3" t="str">
        <f t="shared" si="22"/>
        <v>Marzo 2018</v>
      </c>
      <c r="D767" s="20">
        <v>98.452250258793498</v>
      </c>
      <c r="E767" s="7">
        <v>2.4010099999999999E-3</v>
      </c>
      <c r="F767" s="7">
        <v>1.5810640000000001E-2</v>
      </c>
      <c r="G767" s="17">
        <v>3.1398589999999997E-2</v>
      </c>
    </row>
    <row r="768" spans="1:7" ht="10.5" thickBot="1" x14ac:dyDescent="0.25">
      <c r="A768" s="8">
        <f t="shared" si="23"/>
        <v>2018</v>
      </c>
      <c r="B768" s="3" t="s">
        <v>14</v>
      </c>
      <c r="C768" s="3" t="str">
        <f t="shared" si="22"/>
        <v>Abril 2018</v>
      </c>
      <c r="D768" s="20">
        <v>98.906895825372402</v>
      </c>
      <c r="E768" s="7">
        <v>4.6179300000000001E-3</v>
      </c>
      <c r="F768" s="7">
        <v>2.0501579999999998E-2</v>
      </c>
      <c r="G768" s="17">
        <v>3.1276129999999999E-2</v>
      </c>
    </row>
    <row r="769" spans="1:7" ht="10.5" thickBot="1" x14ac:dyDescent="0.25">
      <c r="A769" s="8">
        <f t="shared" si="23"/>
        <v>2018</v>
      </c>
      <c r="B769" s="3" t="s">
        <v>15</v>
      </c>
      <c r="C769" s="3" t="str">
        <f t="shared" si="22"/>
        <v>Mayo 2018</v>
      </c>
      <c r="D769" s="20">
        <v>99.157791416887306</v>
      </c>
      <c r="E769" s="7">
        <v>2.5366799999999999E-3</v>
      </c>
      <c r="F769" s="7">
        <v>2.309027E-2</v>
      </c>
      <c r="G769" s="17">
        <v>3.1567850000000001E-2</v>
      </c>
    </row>
    <row r="770" spans="1:7" ht="10.5" thickBot="1" x14ac:dyDescent="0.25">
      <c r="A770" s="8">
        <f t="shared" si="23"/>
        <v>2018</v>
      </c>
      <c r="B770" s="3" t="s">
        <v>16</v>
      </c>
      <c r="C770" s="3" t="str">
        <f t="shared" si="22"/>
        <v>Junio 2018</v>
      </c>
      <c r="D770" s="20">
        <v>99.3111507800769</v>
      </c>
      <c r="E770" s="7">
        <v>1.5466200000000001E-3</v>
      </c>
      <c r="F770" s="7">
        <v>2.4672610000000001E-2</v>
      </c>
      <c r="G770" s="17">
        <v>3.1980219999999997E-2</v>
      </c>
    </row>
    <row r="771" spans="1:7" ht="10.5" thickBot="1" x14ac:dyDescent="0.25">
      <c r="A771" s="8">
        <f t="shared" si="23"/>
        <v>2018</v>
      </c>
      <c r="B771" s="3" t="s">
        <v>5</v>
      </c>
      <c r="C771" s="3" t="str">
        <f t="shared" si="22"/>
        <v>Julio 2018</v>
      </c>
      <c r="D771" s="20">
        <v>99.184494050769601</v>
      </c>
      <c r="E771" s="7">
        <v>-1.27535E-3</v>
      </c>
      <c r="F771" s="7">
        <v>2.3365790000000001E-2</v>
      </c>
      <c r="G771" s="17">
        <v>3.1191549999999998E-2</v>
      </c>
    </row>
    <row r="772" spans="1:7" ht="10.5" thickBot="1" x14ac:dyDescent="0.25">
      <c r="A772" s="8">
        <f t="shared" si="23"/>
        <v>2018</v>
      </c>
      <c r="B772" s="3" t="s">
        <v>6</v>
      </c>
      <c r="C772" s="3" t="str">
        <f t="shared" ref="C772:C835" si="24">B772&amp;" "&amp;A772</f>
        <v>Agosto 2018</v>
      </c>
      <c r="D772" s="20">
        <v>99.303264094060694</v>
      </c>
      <c r="E772" s="7">
        <v>1.19747E-3</v>
      </c>
      <c r="F772" s="7">
        <v>2.4591229999999999E-2</v>
      </c>
      <c r="G772" s="17">
        <v>3.0982409999999998E-2</v>
      </c>
    </row>
    <row r="773" spans="1:7" ht="10.5" thickBot="1" x14ac:dyDescent="0.25">
      <c r="A773" s="8">
        <f t="shared" si="23"/>
        <v>2018</v>
      </c>
      <c r="B773" s="3" t="s">
        <v>7</v>
      </c>
      <c r="C773" s="3" t="str">
        <f t="shared" si="24"/>
        <v>Septiembre 2018</v>
      </c>
      <c r="D773" s="20">
        <v>99.467112979991498</v>
      </c>
      <c r="E773" s="7">
        <v>1.6499799999999999E-3</v>
      </c>
      <c r="F773" s="7">
        <v>2.6281789999999999E-2</v>
      </c>
      <c r="G773" s="17">
        <v>3.2267759999999999E-2</v>
      </c>
    </row>
    <row r="774" spans="1:7" ht="10.5" thickBot="1" x14ac:dyDescent="0.25">
      <c r="A774" s="8">
        <f t="shared" si="23"/>
        <v>2018</v>
      </c>
      <c r="B774" s="3" t="s">
        <v>8</v>
      </c>
      <c r="C774" s="3" t="str">
        <f t="shared" si="24"/>
        <v>Octubre 2018</v>
      </c>
      <c r="D774" s="20">
        <v>99.586837885347407</v>
      </c>
      <c r="E774" s="7">
        <v>1.20367E-3</v>
      </c>
      <c r="F774" s="7">
        <v>2.7517090000000001E-2</v>
      </c>
      <c r="G774" s="17">
        <v>3.3337499999999999E-2</v>
      </c>
    </row>
    <row r="775" spans="1:7" ht="10.5" thickBot="1" x14ac:dyDescent="0.25">
      <c r="A775" s="8">
        <f t="shared" si="23"/>
        <v>2018</v>
      </c>
      <c r="B775" s="3" t="s">
        <v>9</v>
      </c>
      <c r="C775" s="3" t="str">
        <f t="shared" si="24"/>
        <v>Noviembre 2018</v>
      </c>
      <c r="D775" s="20">
        <v>99.703542550824395</v>
      </c>
      <c r="E775" s="7">
        <v>1.1718900000000001E-3</v>
      </c>
      <c r="F775" s="7">
        <v>2.872123E-2</v>
      </c>
      <c r="G775" s="17">
        <v>3.2680969999999997E-2</v>
      </c>
    </row>
    <row r="776" spans="1:7" s="43" customFormat="1" ht="10.5" thickBot="1" x14ac:dyDescent="0.25">
      <c r="A776" s="38">
        <f t="shared" si="23"/>
        <v>2018</v>
      </c>
      <c r="B776" s="39" t="s">
        <v>10</v>
      </c>
      <c r="C776" s="39" t="str">
        <f t="shared" si="24"/>
        <v>Diciembre 2018</v>
      </c>
      <c r="D776" s="40">
        <v>100</v>
      </c>
      <c r="E776" s="41">
        <v>2.9733899999999998E-3</v>
      </c>
      <c r="F776" s="41">
        <v>3.1780009999999997E-2</v>
      </c>
      <c r="G776" s="42">
        <v>3.1780009999999997E-2</v>
      </c>
    </row>
    <row r="777" spans="1:7" ht="10.5" thickBot="1" x14ac:dyDescent="0.25">
      <c r="A777" s="13">
        <f t="shared" si="23"/>
        <v>2019</v>
      </c>
      <c r="B777" s="10" t="s">
        <v>11</v>
      </c>
      <c r="C777" s="10" t="str">
        <f t="shared" si="24"/>
        <v>Enero 2019</v>
      </c>
      <c r="D777" s="19">
        <v>100.59854</v>
      </c>
      <c r="E777" s="11">
        <v>5.9854000000000001E-3</v>
      </c>
      <c r="F777" s="11">
        <v>5.9854000000000001E-3</v>
      </c>
      <c r="G777" s="14">
        <v>3.14875453662651E-2</v>
      </c>
    </row>
    <row r="778" spans="1:7" ht="10.5" thickBot="1" x14ac:dyDescent="0.25">
      <c r="A778" s="13">
        <f t="shared" si="23"/>
        <v>2019</v>
      </c>
      <c r="B778" s="10" t="s">
        <v>12</v>
      </c>
      <c r="C778" s="10" t="str">
        <f t="shared" si="24"/>
        <v>Febrero 2019</v>
      </c>
      <c r="D778" s="19">
        <v>101.17675</v>
      </c>
      <c r="E778" s="11">
        <v>5.7473271577259703E-3</v>
      </c>
      <c r="F778" s="11">
        <v>1.17674999999999E-2</v>
      </c>
      <c r="G778" s="14">
        <v>3.0140766875494499E-2</v>
      </c>
    </row>
    <row r="779" spans="1:7" ht="10.5" thickBot="1" x14ac:dyDescent="0.25">
      <c r="A779" s="13">
        <f t="shared" si="23"/>
        <v>2019</v>
      </c>
      <c r="B779" s="10" t="s">
        <v>13</v>
      </c>
      <c r="C779" s="10" t="str">
        <f t="shared" si="24"/>
        <v>Marzo 2019</v>
      </c>
      <c r="D779" s="19">
        <v>101.61572</v>
      </c>
      <c r="E779" s="11"/>
      <c r="F779" s="11"/>
      <c r="G779" s="14"/>
    </row>
    <row r="780" spans="1:7" ht="10.5" thickBot="1" x14ac:dyDescent="0.25">
      <c r="A780" s="13">
        <f t="shared" si="23"/>
        <v>2019</v>
      </c>
      <c r="B780" s="10" t="s">
        <v>14</v>
      </c>
      <c r="C780" s="10" t="str">
        <f t="shared" si="24"/>
        <v>Abril 2019</v>
      </c>
      <c r="D780" s="19">
        <v>102.11886</v>
      </c>
      <c r="E780" s="11"/>
      <c r="F780" s="11"/>
      <c r="G780" s="14"/>
    </row>
    <row r="781" spans="1:7" ht="10.5" thickBot="1" x14ac:dyDescent="0.25">
      <c r="A781" s="13">
        <f t="shared" si="23"/>
        <v>2019</v>
      </c>
      <c r="B781" s="10" t="s">
        <v>15</v>
      </c>
      <c r="C781" s="10" t="str">
        <f t="shared" si="24"/>
        <v>Mayo 2019</v>
      </c>
      <c r="D781" s="19">
        <v>102.43926999999999</v>
      </c>
      <c r="E781" s="11"/>
      <c r="F781" s="11"/>
      <c r="G781" s="14"/>
    </row>
    <row r="782" spans="1:7" ht="10.5" thickBot="1" x14ac:dyDescent="0.25">
      <c r="A782" s="13">
        <f t="shared" si="23"/>
        <v>2019</v>
      </c>
      <c r="B782" s="10" t="s">
        <v>16</v>
      </c>
      <c r="C782" s="10" t="str">
        <f t="shared" si="24"/>
        <v>Junio 2019</v>
      </c>
      <c r="D782" s="19">
        <v>102.71377</v>
      </c>
      <c r="E782" s="11"/>
      <c r="F782" s="11"/>
      <c r="G782" s="14"/>
    </row>
    <row r="783" spans="1:7" ht="10.5" thickBot="1" x14ac:dyDescent="0.25">
      <c r="A783" s="13">
        <f t="shared" si="23"/>
        <v>2019</v>
      </c>
      <c r="B783" s="10" t="s">
        <v>5</v>
      </c>
      <c r="C783" s="10" t="str">
        <f t="shared" si="24"/>
        <v>Julio 2019</v>
      </c>
      <c r="D783" s="19">
        <v>102.93898</v>
      </c>
      <c r="E783" s="11"/>
      <c r="F783" s="11"/>
      <c r="G783" s="14"/>
    </row>
    <row r="784" spans="1:7" ht="10.5" thickBot="1" x14ac:dyDescent="0.25">
      <c r="A784" s="13">
        <f t="shared" si="23"/>
        <v>2019</v>
      </c>
      <c r="B784" s="10" t="s">
        <v>6</v>
      </c>
      <c r="C784" s="10" t="str">
        <f t="shared" si="24"/>
        <v>Agosto 2019</v>
      </c>
      <c r="D784" s="19">
        <v>103.02736</v>
      </c>
      <c r="E784" s="11"/>
      <c r="F784" s="11"/>
      <c r="G784" s="14"/>
    </row>
    <row r="785" spans="1:7" ht="10.5" thickBot="1" x14ac:dyDescent="0.25">
      <c r="A785" s="13">
        <f t="shared" si="23"/>
        <v>2019</v>
      </c>
      <c r="B785" s="10" t="s">
        <v>7</v>
      </c>
      <c r="C785" s="10" t="str">
        <f t="shared" si="24"/>
        <v>Septiembre 2019</v>
      </c>
      <c r="D785" s="19">
        <v>103.26273999999999</v>
      </c>
      <c r="E785" s="11"/>
      <c r="F785" s="11"/>
      <c r="G785" s="14"/>
    </row>
    <row r="786" spans="1:7" ht="10.5" thickBot="1" x14ac:dyDescent="0.25">
      <c r="A786" s="13">
        <f t="shared" si="23"/>
        <v>2019</v>
      </c>
      <c r="B786" s="10" t="s">
        <v>8</v>
      </c>
      <c r="C786" s="10" t="str">
        <f t="shared" si="24"/>
        <v>Octubre 2019</v>
      </c>
      <c r="D786" s="19">
        <v>103.42652</v>
      </c>
      <c r="E786" s="11"/>
      <c r="F786" s="11"/>
      <c r="G786" s="14"/>
    </row>
    <row r="787" spans="1:7" ht="10.5" thickBot="1" x14ac:dyDescent="0.25">
      <c r="A787" s="13">
        <f t="shared" si="23"/>
        <v>2019</v>
      </c>
      <c r="B787" s="10" t="s">
        <v>9</v>
      </c>
      <c r="C787" s="10" t="str">
        <f t="shared" si="24"/>
        <v>Noviembre 2019</v>
      </c>
      <c r="D787" s="19">
        <v>103.53506</v>
      </c>
      <c r="E787" s="11"/>
      <c r="F787" s="11"/>
      <c r="G787" s="14"/>
    </row>
    <row r="788" spans="1:7" ht="10.5" thickBot="1" x14ac:dyDescent="0.25">
      <c r="A788" s="13">
        <f t="shared" si="23"/>
        <v>2019</v>
      </c>
      <c r="B788" s="10" t="s">
        <v>10</v>
      </c>
      <c r="C788" s="10" t="str">
        <f t="shared" si="24"/>
        <v>Diciembre 2019</v>
      </c>
      <c r="D788" s="19">
        <v>103.8043</v>
      </c>
      <c r="E788" s="11"/>
      <c r="F788" s="11"/>
      <c r="G788" s="14"/>
    </row>
    <row r="789" spans="1:7" ht="10.5" thickBot="1" x14ac:dyDescent="0.25">
      <c r="A789" s="8">
        <f t="shared" si="23"/>
        <v>2020</v>
      </c>
      <c r="B789" s="3" t="s">
        <v>11</v>
      </c>
      <c r="C789" s="3" t="str">
        <f t="shared" si="24"/>
        <v>Enero 2020</v>
      </c>
      <c r="D789" s="20">
        <v>104.24251</v>
      </c>
      <c r="E789" s="7"/>
      <c r="F789" s="7"/>
      <c r="G789" s="17"/>
    </row>
    <row r="790" spans="1:7" ht="10.5" thickBot="1" x14ac:dyDescent="0.25">
      <c r="A790" s="8">
        <f t="shared" ref="A790:A821" si="25">A778+1</f>
        <v>2020</v>
      </c>
      <c r="B790" s="3" t="s">
        <v>12</v>
      </c>
      <c r="C790" s="3" t="str">
        <f t="shared" si="24"/>
        <v>Febrero 2020</v>
      </c>
      <c r="D790" s="20">
        <v>104.94058</v>
      </c>
      <c r="E790" s="7"/>
      <c r="F790" s="7"/>
      <c r="G790" s="17"/>
    </row>
    <row r="791" spans="1:7" ht="10.5" thickBot="1" x14ac:dyDescent="0.25">
      <c r="A791" s="8">
        <f t="shared" si="25"/>
        <v>2020</v>
      </c>
      <c r="B791" s="3" t="s">
        <v>13</v>
      </c>
      <c r="C791" s="3" t="str">
        <f t="shared" si="24"/>
        <v>Marzo 2020</v>
      </c>
      <c r="D791" s="20">
        <v>105.53395</v>
      </c>
      <c r="E791" s="7"/>
      <c r="F791" s="7"/>
      <c r="G791" s="17"/>
    </row>
    <row r="792" spans="1:7" ht="10.5" thickBot="1" x14ac:dyDescent="0.25">
      <c r="A792" s="8">
        <f t="shared" si="25"/>
        <v>2020</v>
      </c>
      <c r="B792" s="3" t="s">
        <v>14</v>
      </c>
      <c r="C792" s="3" t="str">
        <f t="shared" si="24"/>
        <v>Abril 2020</v>
      </c>
      <c r="D792" s="20">
        <v>105.69958</v>
      </c>
      <c r="E792" s="7"/>
      <c r="F792" s="7"/>
      <c r="G792" s="17"/>
    </row>
    <row r="793" spans="1:7" ht="10.5" thickBot="1" x14ac:dyDescent="0.25">
      <c r="A793" s="8">
        <f t="shared" si="25"/>
        <v>2020</v>
      </c>
      <c r="B793" s="3" t="s">
        <v>15</v>
      </c>
      <c r="C793" s="3" t="str">
        <f t="shared" si="24"/>
        <v>Mayo 2020</v>
      </c>
      <c r="D793" s="20">
        <v>105.36296</v>
      </c>
      <c r="E793" s="7"/>
      <c r="F793" s="7"/>
      <c r="G793" s="17"/>
    </row>
    <row r="794" spans="1:7" ht="10.5" thickBot="1" x14ac:dyDescent="0.25">
      <c r="A794" s="8">
        <f t="shared" si="25"/>
        <v>2020</v>
      </c>
      <c r="B794" s="3" t="s">
        <v>16</v>
      </c>
      <c r="C794" s="3" t="str">
        <f t="shared" si="24"/>
        <v>Junio 2020</v>
      </c>
      <c r="D794" s="20">
        <v>104.9666</v>
      </c>
      <c r="E794" s="7"/>
      <c r="F794" s="7"/>
      <c r="G794" s="17"/>
    </row>
    <row r="795" spans="1:7" ht="10.5" thickBot="1" x14ac:dyDescent="0.25">
      <c r="A795" s="8">
        <f t="shared" si="25"/>
        <v>2020</v>
      </c>
      <c r="B795" s="3" t="s">
        <v>5</v>
      </c>
      <c r="C795" s="3" t="str">
        <f t="shared" si="24"/>
        <v>Julio 2020</v>
      </c>
      <c r="D795" s="20">
        <v>104.96809</v>
      </c>
      <c r="E795" s="7"/>
      <c r="F795" s="7"/>
      <c r="G795" s="17"/>
    </row>
    <row r="796" spans="1:7" ht="10.5" thickBot="1" x14ac:dyDescent="0.25">
      <c r="A796" s="8">
        <f t="shared" si="25"/>
        <v>2020</v>
      </c>
      <c r="B796" s="3" t="s">
        <v>6</v>
      </c>
      <c r="C796" s="3" t="str">
        <f t="shared" si="24"/>
        <v>Agosto 2020</v>
      </c>
      <c r="D796" s="20">
        <v>104.96232000000001</v>
      </c>
      <c r="E796" s="7"/>
      <c r="F796" s="7"/>
      <c r="G796" s="17"/>
    </row>
    <row r="797" spans="1:7" ht="10.5" thickBot="1" x14ac:dyDescent="0.25">
      <c r="A797" s="8">
        <f t="shared" si="25"/>
        <v>2020</v>
      </c>
      <c r="B797" s="3" t="s">
        <v>7</v>
      </c>
      <c r="C797" s="3" t="str">
        <f t="shared" si="24"/>
        <v>Septiembre 2020</v>
      </c>
      <c r="D797" s="20">
        <v>105.29436</v>
      </c>
      <c r="E797" s="7"/>
      <c r="F797" s="7"/>
      <c r="G797" s="17"/>
    </row>
    <row r="798" spans="1:7" ht="10.5" thickBot="1" x14ac:dyDescent="0.25">
      <c r="A798" s="8">
        <f t="shared" si="25"/>
        <v>2020</v>
      </c>
      <c r="B798" s="3" t="s">
        <v>8</v>
      </c>
      <c r="C798" s="3" t="str">
        <f t="shared" si="24"/>
        <v>Octubre 2020</v>
      </c>
      <c r="D798" s="20">
        <v>105.23455</v>
      </c>
      <c r="E798" s="7"/>
      <c r="F798" s="7"/>
      <c r="G798" s="17"/>
    </row>
    <row r="799" spans="1:7" ht="10.5" thickBot="1" x14ac:dyDescent="0.25">
      <c r="A799" s="8">
        <f t="shared" si="25"/>
        <v>2020</v>
      </c>
      <c r="B799" s="3" t="s">
        <v>9</v>
      </c>
      <c r="C799" s="3" t="str">
        <f t="shared" si="24"/>
        <v>Noviembre 2020</v>
      </c>
      <c r="D799" s="20">
        <v>105.07719</v>
      </c>
      <c r="E799" s="7"/>
      <c r="F799" s="7"/>
      <c r="G799" s="17"/>
    </row>
    <row r="800" spans="1:7" ht="10.5" thickBot="1" x14ac:dyDescent="0.25">
      <c r="A800" s="8">
        <f t="shared" si="25"/>
        <v>2020</v>
      </c>
      <c r="B800" s="3" t="s">
        <v>10</v>
      </c>
      <c r="C800" s="3" t="str">
        <f t="shared" si="24"/>
        <v>Diciembre 2020</v>
      </c>
      <c r="D800" s="20">
        <v>105.47602000000001</v>
      </c>
      <c r="E800" s="7"/>
      <c r="F800" s="7"/>
      <c r="G800" s="17"/>
    </row>
    <row r="801" spans="1:7" ht="10.5" thickBot="1" x14ac:dyDescent="0.25">
      <c r="A801" s="13">
        <f t="shared" si="25"/>
        <v>2021</v>
      </c>
      <c r="B801" s="10" t="s">
        <v>11</v>
      </c>
      <c r="C801" s="10" t="str">
        <f t="shared" si="24"/>
        <v>Enero 2021</v>
      </c>
      <c r="D801" s="19">
        <v>105.90748000000001</v>
      </c>
      <c r="E801" s="11"/>
      <c r="F801" s="11"/>
      <c r="G801" s="14"/>
    </row>
    <row r="802" spans="1:7" ht="10.5" thickBot="1" x14ac:dyDescent="0.25">
      <c r="A802" s="13">
        <f t="shared" si="25"/>
        <v>2021</v>
      </c>
      <c r="B802" s="10" t="s">
        <v>12</v>
      </c>
      <c r="C802" s="10" t="str">
        <f t="shared" si="24"/>
        <v>Febrero 2021</v>
      </c>
      <c r="D802" s="19">
        <v>106.58091</v>
      </c>
      <c r="E802" s="11"/>
      <c r="F802" s="11"/>
      <c r="G802" s="14"/>
    </row>
    <row r="803" spans="1:7" ht="10.5" thickBot="1" x14ac:dyDescent="0.25">
      <c r="A803" s="13">
        <f t="shared" si="25"/>
        <v>2021</v>
      </c>
      <c r="B803" s="10" t="s">
        <v>13</v>
      </c>
      <c r="C803" s="10" t="str">
        <f t="shared" si="24"/>
        <v>Marzo 2021</v>
      </c>
      <c r="D803" s="19">
        <v>107.12387</v>
      </c>
      <c r="E803" s="11"/>
      <c r="F803" s="11"/>
      <c r="G803" s="14"/>
    </row>
    <row r="804" spans="1:7" ht="10.5" thickBot="1" x14ac:dyDescent="0.25">
      <c r="A804" s="13">
        <f t="shared" si="25"/>
        <v>2021</v>
      </c>
      <c r="B804" s="10" t="s">
        <v>14</v>
      </c>
      <c r="C804" s="10" t="str">
        <f t="shared" si="24"/>
        <v>Abril 2021</v>
      </c>
      <c r="D804" s="19">
        <v>107.75837</v>
      </c>
      <c r="E804" s="11"/>
      <c r="F804" s="11"/>
      <c r="G804" s="14"/>
    </row>
    <row r="805" spans="1:7" ht="10.5" thickBot="1" x14ac:dyDescent="0.25">
      <c r="A805" s="13">
        <f t="shared" si="25"/>
        <v>2021</v>
      </c>
      <c r="B805" s="10" t="s">
        <v>15</v>
      </c>
      <c r="C805" s="10" t="str">
        <f t="shared" si="24"/>
        <v>Mayo 2021</v>
      </c>
      <c r="D805" s="19">
        <v>108.83537</v>
      </c>
      <c r="E805" s="11"/>
      <c r="F805" s="11"/>
      <c r="G805" s="14"/>
    </row>
    <row r="806" spans="1:7" ht="10.5" thickBot="1" x14ac:dyDescent="0.25">
      <c r="A806" s="13">
        <f t="shared" si="25"/>
        <v>2021</v>
      </c>
      <c r="B806" s="10" t="s">
        <v>16</v>
      </c>
      <c r="C806" s="10" t="str">
        <f t="shared" si="24"/>
        <v>Junio 2021</v>
      </c>
      <c r="D806" s="19">
        <v>108.78189</v>
      </c>
      <c r="E806" s="11"/>
      <c r="F806" s="11"/>
      <c r="G806" s="14"/>
    </row>
    <row r="807" spans="1:7" ht="10.5" thickBot="1" x14ac:dyDescent="0.25">
      <c r="A807" s="13">
        <f t="shared" si="25"/>
        <v>2021</v>
      </c>
      <c r="B807" s="10" t="s">
        <v>5</v>
      </c>
      <c r="C807" s="10" t="str">
        <f t="shared" si="24"/>
        <v>Julio 2021</v>
      </c>
      <c r="D807" s="19">
        <v>109.13542</v>
      </c>
      <c r="E807" s="11"/>
      <c r="F807" s="11"/>
      <c r="G807" s="14"/>
    </row>
    <row r="808" spans="1:7" ht="10.5" thickBot="1" x14ac:dyDescent="0.25">
      <c r="A808" s="13">
        <f t="shared" si="25"/>
        <v>2021</v>
      </c>
      <c r="B808" s="10" t="s">
        <v>6</v>
      </c>
      <c r="C808" s="10" t="str">
        <f t="shared" si="24"/>
        <v>Agosto 2021</v>
      </c>
      <c r="D808" s="19">
        <v>109.62372000000001</v>
      </c>
      <c r="E808" s="11"/>
      <c r="F808" s="11"/>
      <c r="G808" s="14"/>
    </row>
    <row r="809" spans="1:7" ht="10.5" thickBot="1" x14ac:dyDescent="0.25">
      <c r="A809" s="13">
        <f t="shared" si="25"/>
        <v>2021</v>
      </c>
      <c r="B809" s="10" t="s">
        <v>7</v>
      </c>
      <c r="C809" s="10" t="str">
        <f t="shared" si="24"/>
        <v>Septiembre 2021</v>
      </c>
      <c r="D809" s="19">
        <v>110.04331999999999</v>
      </c>
      <c r="E809" s="11"/>
      <c r="F809" s="11"/>
      <c r="G809" s="14"/>
    </row>
    <row r="810" spans="1:7" ht="10.5" thickBot="1" x14ac:dyDescent="0.25">
      <c r="A810" s="13">
        <f t="shared" si="25"/>
        <v>2021</v>
      </c>
      <c r="B810" s="10" t="s">
        <v>8</v>
      </c>
      <c r="C810" s="10" t="str">
        <f t="shared" si="24"/>
        <v>Octubre 2021</v>
      </c>
      <c r="D810" s="19">
        <v>110.05802</v>
      </c>
      <c r="E810" s="11"/>
      <c r="F810" s="11"/>
      <c r="G810" s="14"/>
    </row>
    <row r="811" spans="1:7" ht="10.5" thickBot="1" x14ac:dyDescent="0.25">
      <c r="A811" s="13">
        <f t="shared" si="25"/>
        <v>2021</v>
      </c>
      <c r="B811" s="10" t="s">
        <v>9</v>
      </c>
      <c r="C811" s="10" t="str">
        <f t="shared" si="24"/>
        <v>Noviembre 2021</v>
      </c>
      <c r="D811" s="19">
        <v>110.60314</v>
      </c>
      <c r="E811" s="11"/>
      <c r="F811" s="11"/>
      <c r="G811" s="14"/>
    </row>
    <row r="812" spans="1:7" ht="10.5" thickBot="1" x14ac:dyDescent="0.25">
      <c r="A812" s="13">
        <f t="shared" si="25"/>
        <v>2021</v>
      </c>
      <c r="B812" s="10" t="s">
        <v>10</v>
      </c>
      <c r="C812" s="10" t="str">
        <f t="shared" si="24"/>
        <v>Diciembre 2021</v>
      </c>
      <c r="D812" s="19">
        <v>111.40658999999999</v>
      </c>
      <c r="E812" s="11"/>
      <c r="F812" s="11"/>
      <c r="G812" s="14"/>
    </row>
    <row r="813" spans="1:7" ht="10.5" thickBot="1" x14ac:dyDescent="0.25">
      <c r="A813" s="8">
        <f t="shared" si="25"/>
        <v>2022</v>
      </c>
      <c r="B813" s="3" t="s">
        <v>11</v>
      </c>
      <c r="C813" s="3" t="str">
        <f t="shared" si="24"/>
        <v>Enero 2022</v>
      </c>
      <c r="D813" s="20">
        <v>113.26233000000001</v>
      </c>
      <c r="E813" s="7"/>
      <c r="F813" s="7"/>
      <c r="G813" s="17"/>
    </row>
    <row r="814" spans="1:7" ht="10.5" thickBot="1" x14ac:dyDescent="0.25">
      <c r="A814" s="8">
        <f t="shared" si="25"/>
        <v>2022</v>
      </c>
      <c r="B814" s="3" t="s">
        <v>12</v>
      </c>
      <c r="C814" s="3" t="str">
        <f t="shared" si="24"/>
        <v>Febrero 2022</v>
      </c>
      <c r="D814" s="20">
        <v>115.11292</v>
      </c>
      <c r="E814" s="7"/>
      <c r="F814" s="7"/>
      <c r="G814" s="17"/>
    </row>
    <row r="815" spans="1:7" ht="10.5" thickBot="1" x14ac:dyDescent="0.25">
      <c r="A815" s="8">
        <f t="shared" si="25"/>
        <v>2022</v>
      </c>
      <c r="B815" s="3" t="s">
        <v>13</v>
      </c>
      <c r="C815" s="3" t="str">
        <f t="shared" si="24"/>
        <v>Marzo 2022</v>
      </c>
      <c r="D815" s="20">
        <v>116.25926</v>
      </c>
      <c r="E815" s="7"/>
      <c r="F815" s="7"/>
      <c r="G815" s="17"/>
    </row>
    <row r="816" spans="1:7" ht="10.5" thickBot="1" x14ac:dyDescent="0.25">
      <c r="A816" s="8">
        <f t="shared" si="25"/>
        <v>2022</v>
      </c>
      <c r="B816" s="3" t="s">
        <v>14</v>
      </c>
      <c r="C816" s="3" t="str">
        <f t="shared" si="24"/>
        <v>Abril 2022</v>
      </c>
      <c r="D816" s="20">
        <v>117.70889</v>
      </c>
      <c r="E816" s="7"/>
      <c r="F816" s="7"/>
      <c r="G816" s="17"/>
    </row>
    <row r="817" spans="1:7" ht="10.5" thickBot="1" x14ac:dyDescent="0.25">
      <c r="A817" s="8">
        <f t="shared" si="25"/>
        <v>2022</v>
      </c>
      <c r="B817" s="3" t="s">
        <v>15</v>
      </c>
      <c r="C817" s="3" t="str">
        <f t="shared" si="24"/>
        <v>Mayo 2022</v>
      </c>
      <c r="D817" s="20">
        <v>118.70323</v>
      </c>
      <c r="E817" s="7"/>
      <c r="F817" s="7"/>
      <c r="G817" s="17"/>
    </row>
    <row r="818" spans="1:7" ht="10.5" thickBot="1" x14ac:dyDescent="0.25">
      <c r="A818" s="8">
        <f t="shared" si="25"/>
        <v>2022</v>
      </c>
      <c r="B818" s="3" t="s">
        <v>16</v>
      </c>
      <c r="C818" s="3" t="str">
        <f t="shared" si="24"/>
        <v>Junio 2022</v>
      </c>
      <c r="D818" s="20">
        <v>119.30526999999999</v>
      </c>
      <c r="E818" s="7"/>
      <c r="F818" s="7"/>
      <c r="G818" s="17"/>
    </row>
    <row r="819" spans="1:7" ht="10.5" thickBot="1" x14ac:dyDescent="0.25">
      <c r="A819" s="8">
        <f t="shared" si="25"/>
        <v>2022</v>
      </c>
      <c r="B819" s="3" t="s">
        <v>5</v>
      </c>
      <c r="C819" s="3" t="str">
        <f t="shared" si="24"/>
        <v>Julio 2022</v>
      </c>
      <c r="D819" s="20">
        <v>120.27359</v>
      </c>
      <c r="E819" s="7"/>
      <c r="F819" s="7"/>
      <c r="G819" s="17"/>
    </row>
    <row r="820" spans="1:7" ht="10.5" thickBot="1" x14ac:dyDescent="0.25">
      <c r="A820" s="8">
        <f t="shared" si="25"/>
        <v>2022</v>
      </c>
      <c r="B820" s="3" t="s">
        <v>6</v>
      </c>
      <c r="C820" s="3" t="str">
        <f t="shared" si="24"/>
        <v>Agosto 2022</v>
      </c>
      <c r="D820" s="20">
        <v>121.50252</v>
      </c>
      <c r="E820" s="7"/>
      <c r="F820" s="7"/>
      <c r="G820" s="17"/>
    </row>
    <row r="821" spans="1:7" ht="10.5" thickBot="1" x14ac:dyDescent="0.25">
      <c r="A821" s="8">
        <f t="shared" si="25"/>
        <v>2022</v>
      </c>
      <c r="B821" s="3" t="s">
        <v>7</v>
      </c>
      <c r="C821" s="3" t="str">
        <f t="shared" si="24"/>
        <v>Septiembre 2022</v>
      </c>
      <c r="D821" s="20">
        <v>122.63215</v>
      </c>
      <c r="E821" s="7"/>
      <c r="F821" s="7"/>
      <c r="G821" s="17"/>
    </row>
    <row r="822" spans="1:7" ht="10.5" thickBot="1" x14ac:dyDescent="0.25">
      <c r="A822" s="8">
        <f>A809+1</f>
        <v>2022</v>
      </c>
      <c r="B822" s="3" t="s">
        <v>8</v>
      </c>
      <c r="C822" s="3" t="str">
        <f t="shared" si="24"/>
        <v>Octubre 2022</v>
      </c>
      <c r="D822" s="20">
        <v>123.50904</v>
      </c>
      <c r="E822" s="7"/>
      <c r="F822" s="7"/>
      <c r="G822" s="17"/>
    </row>
    <row r="823" spans="1:7" ht="10.5" thickBot="1" x14ac:dyDescent="0.25">
      <c r="A823" s="8">
        <f>A810+1</f>
        <v>2022</v>
      </c>
      <c r="B823" s="3" t="s">
        <v>9</v>
      </c>
      <c r="C823" s="3" t="str">
        <f t="shared" si="24"/>
        <v>Noviembre 2022</v>
      </c>
      <c r="D823" s="20">
        <v>124.46333</v>
      </c>
      <c r="E823" s="7"/>
      <c r="F823" s="7"/>
      <c r="G823" s="17"/>
    </row>
    <row r="824" spans="1:7" ht="10.5" thickBot="1" x14ac:dyDescent="0.25">
      <c r="A824" s="8">
        <f>A811+1</f>
        <v>2022</v>
      </c>
      <c r="B824" s="3" t="s">
        <v>10</v>
      </c>
      <c r="C824" s="3" t="str">
        <f t="shared" si="24"/>
        <v>Diciembre 2022</v>
      </c>
      <c r="D824" s="20">
        <v>126.02588</v>
      </c>
      <c r="E824" s="7"/>
      <c r="F824" s="7"/>
      <c r="G824" s="17"/>
    </row>
    <row r="825" spans="1:7" ht="10.5" thickBot="1" x14ac:dyDescent="0.25">
      <c r="A825" s="13">
        <f>A813+1</f>
        <v>2023</v>
      </c>
      <c r="B825" s="10" t="s">
        <v>11</v>
      </c>
      <c r="C825" s="10" t="str">
        <f t="shared" si="24"/>
        <v>Enero 2023</v>
      </c>
      <c r="D825" s="19">
        <v>128.27182999999999</v>
      </c>
      <c r="E825" s="11"/>
      <c r="F825" s="11"/>
      <c r="G825" s="14"/>
    </row>
    <row r="826" spans="1:7" ht="10.5" thickBot="1" x14ac:dyDescent="0.25">
      <c r="A826" s="13">
        <f t="shared" ref="A826:A872" si="26">A814+1</f>
        <v>2023</v>
      </c>
      <c r="B826" s="10" t="s">
        <v>12</v>
      </c>
      <c r="C826" s="10" t="str">
        <f t="shared" si="24"/>
        <v>Febrero 2023</v>
      </c>
      <c r="D826" s="19">
        <v>130.39877999999999</v>
      </c>
      <c r="E826" s="11"/>
      <c r="F826" s="11"/>
      <c r="G826" s="14"/>
    </row>
    <row r="827" spans="1:7" ht="10.5" thickBot="1" x14ac:dyDescent="0.25">
      <c r="A827" s="13">
        <f t="shared" si="26"/>
        <v>2023</v>
      </c>
      <c r="B827" s="10" t="s">
        <v>13</v>
      </c>
      <c r="C827" s="10" t="str">
        <f t="shared" si="24"/>
        <v>Marzo 2023</v>
      </c>
      <c r="D827" s="19">
        <v>131.77328</v>
      </c>
      <c r="E827" s="11"/>
      <c r="F827" s="11"/>
      <c r="G827" s="14"/>
    </row>
    <row r="828" spans="1:7" ht="10.5" thickBot="1" x14ac:dyDescent="0.25">
      <c r="A828" s="13">
        <f t="shared" si="26"/>
        <v>2023</v>
      </c>
      <c r="B828" s="10" t="s">
        <v>14</v>
      </c>
      <c r="C828" s="10" t="str">
        <f t="shared" si="24"/>
        <v>Abril 2023</v>
      </c>
      <c r="D828" s="19">
        <v>132.80255</v>
      </c>
      <c r="E828" s="11"/>
      <c r="F828" s="11"/>
      <c r="G828" s="14"/>
    </row>
    <row r="829" spans="1:7" ht="10.5" thickBot="1" x14ac:dyDescent="0.25">
      <c r="A829" s="13">
        <f t="shared" si="26"/>
        <v>2023</v>
      </c>
      <c r="B829" s="10" t="s">
        <v>15</v>
      </c>
      <c r="C829" s="10" t="str">
        <f t="shared" si="24"/>
        <v>Mayo 2023</v>
      </c>
      <c r="D829" s="19">
        <v>133.37524999999999</v>
      </c>
      <c r="E829" s="11"/>
      <c r="F829" s="11"/>
      <c r="G829" s="14"/>
    </row>
    <row r="830" spans="1:7" ht="10.5" thickBot="1" x14ac:dyDescent="0.25">
      <c r="A830" s="13">
        <f t="shared" si="26"/>
        <v>2023</v>
      </c>
      <c r="B830" s="10" t="s">
        <v>16</v>
      </c>
      <c r="C830" s="10" t="str">
        <f t="shared" si="24"/>
        <v>Junio 2023</v>
      </c>
      <c r="D830" s="19">
        <v>133.77654000000001</v>
      </c>
      <c r="E830" s="11"/>
      <c r="F830" s="11"/>
      <c r="G830" s="14"/>
    </row>
    <row r="831" spans="1:7" ht="10.5" thickBot="1" x14ac:dyDescent="0.25">
      <c r="A831" s="13">
        <f t="shared" si="26"/>
        <v>2023</v>
      </c>
      <c r="B831" s="10" t="s">
        <v>5</v>
      </c>
      <c r="C831" s="10" t="str">
        <f t="shared" si="24"/>
        <v>Julio 2023</v>
      </c>
      <c r="D831" s="19">
        <v>134.44773000000001</v>
      </c>
      <c r="E831" s="11"/>
      <c r="F831" s="11"/>
      <c r="G831" s="14"/>
    </row>
    <row r="832" spans="1:7" ht="10.5" thickBot="1" x14ac:dyDescent="0.25">
      <c r="A832" s="13">
        <f t="shared" si="26"/>
        <v>2023</v>
      </c>
      <c r="B832" s="10" t="s">
        <v>6</v>
      </c>
      <c r="C832" s="10" t="str">
        <f t="shared" si="24"/>
        <v>Agosto 2023</v>
      </c>
      <c r="D832" s="19">
        <v>135.38702000000001</v>
      </c>
      <c r="E832" s="11"/>
      <c r="F832" s="11"/>
      <c r="G832" s="14"/>
    </row>
    <row r="833" spans="1:7" ht="10.5" thickBot="1" x14ac:dyDescent="0.25">
      <c r="A833" s="13">
        <f t="shared" si="26"/>
        <v>2023</v>
      </c>
      <c r="B833" s="10" t="s">
        <v>7</v>
      </c>
      <c r="C833" s="10" t="str">
        <f t="shared" si="24"/>
        <v>Septiembre 2023</v>
      </c>
      <c r="D833" s="19">
        <v>136.11472000000001</v>
      </c>
      <c r="E833" s="11"/>
      <c r="F833" s="11"/>
      <c r="G833" s="14"/>
    </row>
    <row r="834" spans="1:7" ht="10.5" thickBot="1" x14ac:dyDescent="0.25">
      <c r="A834" s="13">
        <f t="shared" si="26"/>
        <v>2023</v>
      </c>
      <c r="B834" s="10" t="s">
        <v>8</v>
      </c>
      <c r="C834" s="10" t="str">
        <f t="shared" si="24"/>
        <v>Octubre 2023</v>
      </c>
      <c r="D834" s="19">
        <v>136.45108999999999</v>
      </c>
      <c r="E834" s="11"/>
      <c r="F834" s="11"/>
      <c r="G834" s="14"/>
    </row>
    <row r="835" spans="1:7" ht="10.5" thickBot="1" x14ac:dyDescent="0.25">
      <c r="A835" s="13">
        <f t="shared" si="26"/>
        <v>2023</v>
      </c>
      <c r="B835" s="10" t="s">
        <v>9</v>
      </c>
      <c r="C835" s="10" t="str">
        <f t="shared" si="24"/>
        <v>Noviembre 2023</v>
      </c>
      <c r="D835" s="19">
        <v>137.09466</v>
      </c>
      <c r="E835" s="11"/>
      <c r="F835" s="11"/>
      <c r="G835" s="14"/>
    </row>
    <row r="836" spans="1:7" ht="10.5" thickBot="1" x14ac:dyDescent="0.25">
      <c r="A836" s="13">
        <f t="shared" si="26"/>
        <v>2023</v>
      </c>
      <c r="B836" s="10" t="s">
        <v>10</v>
      </c>
      <c r="C836" s="10" t="str">
        <f t="shared" ref="C836:C860" si="27">B836&amp;" "&amp;A836</f>
        <v>Diciembre 2023</v>
      </c>
      <c r="D836" s="19">
        <v>137.71610999999999</v>
      </c>
      <c r="E836" s="11"/>
      <c r="F836" s="11"/>
      <c r="G836" s="14"/>
    </row>
    <row r="837" spans="1:7" ht="10.5" thickBot="1" x14ac:dyDescent="0.25">
      <c r="A837" s="8">
        <f t="shared" si="26"/>
        <v>2024</v>
      </c>
      <c r="B837" s="3" t="s">
        <v>11</v>
      </c>
      <c r="C837" s="3" t="str">
        <f t="shared" si="27"/>
        <v>Enero 2024</v>
      </c>
      <c r="D837" s="20">
        <v>138.97811999999999</v>
      </c>
      <c r="E837" s="7"/>
      <c r="F837" s="7"/>
      <c r="G837" s="17"/>
    </row>
    <row r="838" spans="1:7" ht="10.5" thickBot="1" x14ac:dyDescent="0.25">
      <c r="A838" s="8">
        <f t="shared" si="26"/>
        <v>2024</v>
      </c>
      <c r="B838" s="3" t="s">
        <v>12</v>
      </c>
      <c r="C838" s="3" t="str">
        <f t="shared" si="27"/>
        <v>Febrero 2024</v>
      </c>
      <c r="D838" s="20">
        <v>140.48822999999999</v>
      </c>
      <c r="E838" s="7"/>
      <c r="F838" s="7"/>
      <c r="G838" s="17"/>
    </row>
    <row r="839" spans="1:7" ht="10.5" thickBot="1" x14ac:dyDescent="0.25">
      <c r="A839" s="8">
        <f t="shared" si="26"/>
        <v>2024</v>
      </c>
      <c r="B839" s="3" t="s">
        <v>13</v>
      </c>
      <c r="C839" s="3" t="str">
        <f t="shared" si="27"/>
        <v>Marzo 2024</v>
      </c>
      <c r="D839" s="20">
        <v>141.47533999999999</v>
      </c>
      <c r="E839" s="7"/>
      <c r="F839" s="7"/>
      <c r="G839" s="17"/>
    </row>
    <row r="840" spans="1:7" ht="10.5" thickBot="1" x14ac:dyDescent="0.25">
      <c r="A840" s="8">
        <f t="shared" si="26"/>
        <v>2024</v>
      </c>
      <c r="B840" s="3" t="s">
        <v>14</v>
      </c>
      <c r="C840" s="3" t="str">
        <f t="shared" si="27"/>
        <v>Abril 2024</v>
      </c>
      <c r="D840" s="20">
        <v>142.31557000000001</v>
      </c>
      <c r="E840" s="7"/>
      <c r="F840" s="7"/>
      <c r="G840" s="17"/>
    </row>
    <row r="841" spans="1:7" ht="10.5" thickBot="1" x14ac:dyDescent="0.25">
      <c r="A841" s="8">
        <f t="shared" si="26"/>
        <v>2024</v>
      </c>
      <c r="B841" s="3" t="s">
        <v>15</v>
      </c>
      <c r="C841" s="3" t="str">
        <f t="shared" si="27"/>
        <v>Mayo 2024</v>
      </c>
      <c r="D841" s="20">
        <v>142.92081999999999</v>
      </c>
      <c r="E841" s="7"/>
      <c r="F841" s="7"/>
      <c r="G841" s="17"/>
    </row>
    <row r="842" spans="1:7" ht="10.5" thickBot="1" x14ac:dyDescent="0.25">
      <c r="A842" s="8">
        <f t="shared" si="26"/>
        <v>2024</v>
      </c>
      <c r="B842" s="3" t="s">
        <v>16</v>
      </c>
      <c r="C842" s="3" t="str">
        <f t="shared" si="27"/>
        <v>Junio 2024</v>
      </c>
      <c r="D842" s="20">
        <v>143.38498999999999</v>
      </c>
      <c r="E842" s="7"/>
      <c r="F842" s="7"/>
      <c r="G842" s="17"/>
    </row>
    <row r="843" spans="1:7" ht="10.5" thickBot="1" x14ac:dyDescent="0.25">
      <c r="A843" s="8">
        <f t="shared" si="26"/>
        <v>2024</v>
      </c>
      <c r="B843" s="3" t="s">
        <v>5</v>
      </c>
      <c r="C843" s="3" t="str">
        <f t="shared" si="27"/>
        <v>Julio 2024</v>
      </c>
      <c r="D843" s="20">
        <v>143.67089999999999</v>
      </c>
      <c r="E843" s="7"/>
      <c r="F843" s="7"/>
      <c r="G843" s="17"/>
    </row>
    <row r="844" spans="1:7" ht="10.5" thickBot="1" x14ac:dyDescent="0.25">
      <c r="A844" s="8">
        <f t="shared" si="26"/>
        <v>2024</v>
      </c>
      <c r="B844" s="3" t="s">
        <v>6</v>
      </c>
      <c r="C844" s="3" t="str">
        <f t="shared" si="27"/>
        <v>Agosto 2024</v>
      </c>
      <c r="D844" s="20">
        <v>143.67331999999999</v>
      </c>
      <c r="E844" s="7"/>
      <c r="F844" s="7"/>
      <c r="G844" s="17"/>
    </row>
    <row r="845" spans="1:7" ht="10.5" thickBot="1" x14ac:dyDescent="0.25">
      <c r="A845" s="8">
        <f t="shared" si="26"/>
        <v>2024</v>
      </c>
      <c r="B845" s="3" t="s">
        <v>7</v>
      </c>
      <c r="C845" s="3" t="str">
        <f t="shared" si="27"/>
        <v>Septiembre 2024</v>
      </c>
      <c r="D845" s="20">
        <v>144.02132</v>
      </c>
      <c r="E845" s="7"/>
      <c r="F845" s="7"/>
      <c r="G845" s="17"/>
    </row>
    <row r="846" spans="1:7" ht="10.5" thickBot="1" x14ac:dyDescent="0.25">
      <c r="A846" s="8">
        <f t="shared" si="26"/>
        <v>2024</v>
      </c>
      <c r="B846" s="3" t="s">
        <v>8</v>
      </c>
      <c r="C846" s="3" t="str">
        <f t="shared" si="27"/>
        <v>Octubre 2024</v>
      </c>
      <c r="D846" s="20">
        <v>143.82781</v>
      </c>
      <c r="E846" s="7"/>
      <c r="F846" s="7"/>
      <c r="G846" s="17"/>
    </row>
    <row r="847" spans="1:7" ht="10.5" thickBot="1" x14ac:dyDescent="0.25">
      <c r="A847" s="8">
        <f t="shared" si="26"/>
        <v>2024</v>
      </c>
      <c r="B847" s="3" t="s">
        <v>9</v>
      </c>
      <c r="C847" s="3" t="str">
        <f t="shared" si="27"/>
        <v>Noviembre 2024</v>
      </c>
      <c r="D847" s="20">
        <v>144.21995999999999</v>
      </c>
      <c r="E847" s="7"/>
      <c r="F847" s="7"/>
      <c r="G847" s="17"/>
    </row>
    <row r="848" spans="1:7" ht="10.5" thickBot="1" x14ac:dyDescent="0.25">
      <c r="A848" s="8">
        <f t="shared" si="26"/>
        <v>2024</v>
      </c>
      <c r="B848" s="3" t="s">
        <v>10</v>
      </c>
      <c r="C848" s="3" t="str">
        <f t="shared" si="27"/>
        <v>Diciembre 2024</v>
      </c>
      <c r="D848" s="20">
        <v>144.88157000000001</v>
      </c>
      <c r="E848" s="7"/>
      <c r="F848" s="7"/>
      <c r="G848" s="17"/>
    </row>
    <row r="849" spans="1:7" ht="10.5" thickBot="1" x14ac:dyDescent="0.25">
      <c r="A849" s="13">
        <f t="shared" si="26"/>
        <v>2025</v>
      </c>
      <c r="B849" s="10" t="s">
        <v>11</v>
      </c>
      <c r="C849" s="10" t="str">
        <f t="shared" si="27"/>
        <v>Enero 2025</v>
      </c>
      <c r="D849" s="19">
        <v>146.23692</v>
      </c>
      <c r="E849" s="11"/>
      <c r="F849" s="11"/>
      <c r="G849" s="14"/>
    </row>
    <row r="850" spans="1:7" ht="10.5" thickBot="1" x14ac:dyDescent="0.25">
      <c r="A850" s="13">
        <f t="shared" si="26"/>
        <v>2025</v>
      </c>
      <c r="B850" s="10" t="s">
        <v>12</v>
      </c>
      <c r="C850" s="10" t="str">
        <f t="shared" si="27"/>
        <v>Febrero 2025</v>
      </c>
      <c r="D850" s="19">
        <v>147.90120999999999</v>
      </c>
      <c r="E850" s="11"/>
      <c r="F850" s="11"/>
      <c r="G850" s="14"/>
    </row>
    <row r="851" spans="1:7" ht="10.5" thickBot="1" x14ac:dyDescent="0.25">
      <c r="A851" s="13">
        <f t="shared" si="26"/>
        <v>2025</v>
      </c>
      <c r="B851" s="10" t="s">
        <v>13</v>
      </c>
      <c r="C851" s="10" t="str">
        <f t="shared" si="27"/>
        <v>Marzo 2025</v>
      </c>
      <c r="D851" s="19">
        <v>148.67643000000001</v>
      </c>
      <c r="E851" s="11"/>
      <c r="F851" s="11"/>
      <c r="G851" s="14"/>
    </row>
    <row r="852" spans="1:7" ht="10.5" thickBot="1" x14ac:dyDescent="0.25">
      <c r="A852" s="13">
        <f t="shared" si="26"/>
        <v>2025</v>
      </c>
      <c r="B852" s="10" t="s">
        <v>14</v>
      </c>
      <c r="C852" s="10" t="str">
        <f t="shared" si="27"/>
        <v>Abril 2025</v>
      </c>
      <c r="D852" s="19">
        <v>149.66230999999999</v>
      </c>
      <c r="E852" s="11"/>
      <c r="F852" s="11"/>
      <c r="G852" s="14"/>
    </row>
    <row r="853" spans="1:7" ht="10.5" thickBot="1" x14ac:dyDescent="0.25">
      <c r="A853" s="13">
        <f t="shared" si="26"/>
        <v>2025</v>
      </c>
      <c r="B853" s="10" t="s">
        <v>15</v>
      </c>
      <c r="C853" s="10" t="str">
        <f t="shared" si="27"/>
        <v>Mayo 2025</v>
      </c>
      <c r="D853" s="19">
        <v>150.14133000000001</v>
      </c>
      <c r="E853" s="11"/>
      <c r="F853" s="11"/>
      <c r="G853" s="14"/>
    </row>
    <row r="854" spans="1:7" ht="10.5" thickBot="1" x14ac:dyDescent="0.25">
      <c r="A854" s="13">
        <f t="shared" si="26"/>
        <v>2025</v>
      </c>
      <c r="B854" s="10" t="s">
        <v>16</v>
      </c>
      <c r="C854" s="10" t="str">
        <f t="shared" si="27"/>
        <v>Junio 2025</v>
      </c>
      <c r="D854" s="19">
        <v>150.29624999999999</v>
      </c>
      <c r="E854" s="11"/>
      <c r="F854" s="11"/>
      <c r="G854" s="14"/>
    </row>
    <row r="855" spans="1:7" ht="10.5" thickBot="1" x14ac:dyDescent="0.25">
      <c r="A855" s="13">
        <f t="shared" si="26"/>
        <v>2025</v>
      </c>
      <c r="B855" s="10" t="s">
        <v>5</v>
      </c>
      <c r="C855" s="10" t="str">
        <f t="shared" si="27"/>
        <v>Julio 2025</v>
      </c>
      <c r="D855" s="19">
        <v>150.71144000000001</v>
      </c>
      <c r="E855" s="11"/>
      <c r="F855" s="11"/>
      <c r="G855" s="14"/>
    </row>
    <row r="856" spans="1:7" ht="10.5" thickBot="1" x14ac:dyDescent="0.25">
      <c r="A856" s="13">
        <f t="shared" si="26"/>
        <v>2025</v>
      </c>
      <c r="B856" s="10" t="s">
        <v>6</v>
      </c>
      <c r="C856" s="10" t="str">
        <f t="shared" si="27"/>
        <v>Agosto 2025</v>
      </c>
      <c r="D856" s="19">
        <v>150.99430000000001</v>
      </c>
      <c r="E856" s="11"/>
      <c r="F856" s="11"/>
      <c r="G856" s="14"/>
    </row>
    <row r="857" spans="1:7" ht="10.5" thickBot="1" x14ac:dyDescent="0.25">
      <c r="A857" s="13">
        <f t="shared" si="26"/>
        <v>2025</v>
      </c>
      <c r="B857" s="10" t="s">
        <v>7</v>
      </c>
      <c r="C857" s="10" t="str">
        <f t="shared" si="27"/>
        <v>Septiembre 2025</v>
      </c>
      <c r="D857" s="19">
        <v>151.47693000000001</v>
      </c>
      <c r="E857" s="11"/>
      <c r="F857" s="11"/>
      <c r="G857" s="14"/>
    </row>
    <row r="858" spans="1:7" ht="10.5" thickBot="1" x14ac:dyDescent="0.25">
      <c r="A858" s="13">
        <f t="shared" si="26"/>
        <v>2025</v>
      </c>
      <c r="B858" s="10" t="s">
        <v>8</v>
      </c>
      <c r="C858" s="10" t="str">
        <f t="shared" si="27"/>
        <v>Octubre 2025</v>
      </c>
      <c r="D858" s="19">
        <v>151.75593000000001</v>
      </c>
      <c r="E858" s="11"/>
      <c r="F858" s="11"/>
      <c r="G858" s="14"/>
    </row>
    <row r="859" spans="1:7" ht="10.5" thickBot="1" x14ac:dyDescent="0.25">
      <c r="A859" s="13">
        <f t="shared" si="26"/>
        <v>2025</v>
      </c>
      <c r="B859" s="10" t="s">
        <v>9</v>
      </c>
      <c r="C859" s="10" t="str">
        <f t="shared" si="27"/>
        <v>Noviembre 2025</v>
      </c>
      <c r="D859" s="19">
        <v>151.86516</v>
      </c>
      <c r="E859" s="11"/>
      <c r="F859" s="11"/>
      <c r="G859" s="14"/>
    </row>
    <row r="860" spans="1:7" ht="10.5" thickBot="1" x14ac:dyDescent="0.25">
      <c r="A860" s="13">
        <f t="shared" si="26"/>
        <v>2025</v>
      </c>
      <c r="B860" s="10" t="s">
        <v>10</v>
      </c>
      <c r="C860" s="10" t="str">
        <f t="shared" si="27"/>
        <v>Diciembre 2025</v>
      </c>
      <c r="D860" s="19">
        <v>152.27036000000001</v>
      </c>
      <c r="E860" s="11"/>
      <c r="F860" s="11"/>
      <c r="G860" s="14"/>
    </row>
    <row r="861" spans="1:7" ht="10.5" thickBot="1" x14ac:dyDescent="0.25">
      <c r="A861" s="8">
        <f t="shared" si="26"/>
        <v>2026</v>
      </c>
      <c r="B861" s="3" t="s">
        <v>11</v>
      </c>
      <c r="C861" s="3" t="str">
        <f t="shared" ref="C861:C872" si="28">B861&amp;" "&amp;A861</f>
        <v>Enero 2026</v>
      </c>
      <c r="D861" s="20">
        <v>154.06585999999999</v>
      </c>
      <c r="E861" s="7"/>
      <c r="F861" s="7"/>
      <c r="G861" s="17"/>
    </row>
    <row r="862" spans="1:7" ht="10.5" thickBot="1" x14ac:dyDescent="0.25">
      <c r="A862" s="8">
        <f t="shared" si="26"/>
        <v>2026</v>
      </c>
      <c r="B862" s="3" t="s">
        <v>12</v>
      </c>
      <c r="C862" s="3" t="str">
        <f t="shared" si="28"/>
        <v>Febrero 2026</v>
      </c>
      <c r="D862" s="20">
        <v>155.72524000000001</v>
      </c>
      <c r="E862" s="7"/>
      <c r="F862" s="7"/>
      <c r="G862" s="17"/>
    </row>
    <row r="863" spans="1:7" ht="10.5" thickBot="1" x14ac:dyDescent="0.25">
      <c r="A863" s="8">
        <f t="shared" si="26"/>
        <v>2026</v>
      </c>
      <c r="B863" s="3" t="s">
        <v>13</v>
      </c>
      <c r="C863" s="3" t="str">
        <f t="shared" si="28"/>
        <v>Marzo 2026</v>
      </c>
      <c r="D863" s="20">
        <v>156.94121000000001</v>
      </c>
      <c r="E863" s="7"/>
      <c r="F863" s="7"/>
      <c r="G863" s="17"/>
    </row>
    <row r="864" spans="1:7" ht="10.5" thickBot="1" x14ac:dyDescent="0.25">
      <c r="A864" s="8">
        <f t="shared" si="26"/>
        <v>2026</v>
      </c>
      <c r="B864" s="3" t="s">
        <v>14</v>
      </c>
      <c r="C864" s="3" t="str">
        <f t="shared" si="28"/>
        <v>Abril 2026</v>
      </c>
      <c r="D864" s="20"/>
      <c r="E864" s="7"/>
      <c r="F864" s="7"/>
      <c r="G864" s="17"/>
    </row>
    <row r="865" spans="1:7" ht="10.5" thickBot="1" x14ac:dyDescent="0.25">
      <c r="A865" s="8">
        <f t="shared" si="26"/>
        <v>2026</v>
      </c>
      <c r="B865" s="3" t="s">
        <v>15</v>
      </c>
      <c r="C865" s="3" t="str">
        <f t="shared" si="28"/>
        <v>Mayo 2026</v>
      </c>
      <c r="D865" s="20"/>
      <c r="E865" s="7"/>
      <c r="F865" s="7"/>
      <c r="G865" s="17"/>
    </row>
    <row r="866" spans="1:7" ht="10.5" thickBot="1" x14ac:dyDescent="0.25">
      <c r="A866" s="8">
        <f t="shared" si="26"/>
        <v>2026</v>
      </c>
      <c r="B866" s="3" t="s">
        <v>16</v>
      </c>
      <c r="C866" s="3" t="str">
        <f t="shared" si="28"/>
        <v>Junio 2026</v>
      </c>
      <c r="D866" s="20"/>
      <c r="E866" s="7"/>
      <c r="F866" s="7"/>
      <c r="G866" s="17"/>
    </row>
    <row r="867" spans="1:7" ht="10.5" thickBot="1" x14ac:dyDescent="0.25">
      <c r="A867" s="8">
        <f t="shared" si="26"/>
        <v>2026</v>
      </c>
      <c r="B867" s="3" t="s">
        <v>5</v>
      </c>
      <c r="C867" s="3" t="str">
        <f t="shared" si="28"/>
        <v>Julio 2026</v>
      </c>
      <c r="D867" s="20"/>
      <c r="E867" s="7"/>
      <c r="F867" s="7"/>
      <c r="G867" s="17"/>
    </row>
    <row r="868" spans="1:7" ht="10.5" thickBot="1" x14ac:dyDescent="0.25">
      <c r="A868" s="8">
        <f t="shared" si="26"/>
        <v>2026</v>
      </c>
      <c r="B868" s="3" t="s">
        <v>6</v>
      </c>
      <c r="C868" s="3" t="str">
        <f t="shared" si="28"/>
        <v>Agosto 2026</v>
      </c>
      <c r="D868" s="20"/>
      <c r="E868" s="7"/>
      <c r="F868" s="7"/>
      <c r="G868" s="17"/>
    </row>
    <row r="869" spans="1:7" ht="10.5" thickBot="1" x14ac:dyDescent="0.25">
      <c r="A869" s="8">
        <f t="shared" si="26"/>
        <v>2026</v>
      </c>
      <c r="B869" s="3" t="s">
        <v>7</v>
      </c>
      <c r="C869" s="3" t="str">
        <f t="shared" si="28"/>
        <v>Septiembre 2026</v>
      </c>
      <c r="D869" s="20"/>
      <c r="E869" s="7"/>
      <c r="F869" s="7"/>
      <c r="G869" s="17"/>
    </row>
    <row r="870" spans="1:7" ht="10.5" thickBot="1" x14ac:dyDescent="0.25">
      <c r="A870" s="8">
        <f t="shared" si="26"/>
        <v>2026</v>
      </c>
      <c r="B870" s="3" t="s">
        <v>8</v>
      </c>
      <c r="C870" s="3" t="str">
        <f t="shared" si="28"/>
        <v>Octubre 2026</v>
      </c>
      <c r="D870" s="20"/>
      <c r="E870" s="7"/>
      <c r="F870" s="7"/>
      <c r="G870" s="17"/>
    </row>
    <row r="871" spans="1:7" ht="10.5" thickBot="1" x14ac:dyDescent="0.25">
      <c r="A871" s="8">
        <f t="shared" si="26"/>
        <v>2026</v>
      </c>
      <c r="B871" s="3" t="s">
        <v>9</v>
      </c>
      <c r="C871" s="3" t="str">
        <f t="shared" si="28"/>
        <v>Noviembre 2026</v>
      </c>
      <c r="D871" s="20"/>
      <c r="E871" s="7"/>
      <c r="F871" s="7"/>
      <c r="G871" s="17"/>
    </row>
    <row r="872" spans="1:7" ht="10.5" thickBot="1" x14ac:dyDescent="0.25">
      <c r="A872" s="8">
        <f t="shared" si="26"/>
        <v>2026</v>
      </c>
      <c r="B872" s="3" t="s">
        <v>10</v>
      </c>
      <c r="C872" s="3" t="str">
        <f t="shared" si="28"/>
        <v>Diciembre 2026</v>
      </c>
      <c r="D872" s="20"/>
      <c r="E872" s="7"/>
      <c r="F872" s="7"/>
      <c r="G872" s="17"/>
    </row>
  </sheetData>
  <autoFilter ref="A2:G769" xr:uid="{00000000-0009-0000-0000-000000000000}"/>
  <phoneticPr fontId="28" type="noConversion"/>
  <hyperlinks>
    <hyperlink ref="A1" r:id="rId1" display="http://www.banrep.gov.co/es/ipc" xr:uid="{00000000-0004-0000-0000-000000000000}"/>
  </hyperlinks>
  <pageMargins left="0.75" right="0.75" top="1" bottom="1" header="0.5" footer="0.5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O49"/>
  <sheetViews>
    <sheetView zoomScale="115" zoomScaleNormal="115" workbookViewId="0">
      <selection activeCell="D5" sqref="D5"/>
    </sheetView>
  </sheetViews>
  <sheetFormatPr baseColWidth="10" defaultColWidth="14" defaultRowHeight="14.5" x14ac:dyDescent="0.35"/>
  <cols>
    <col min="1" max="6" width="14" style="86"/>
    <col min="7" max="7" width="6" style="86" customWidth="1"/>
    <col min="8" max="8" width="16.453125" style="86" bestFit="1" customWidth="1"/>
    <col min="9" max="11" width="14" style="86"/>
    <col min="12" max="12" width="36.1796875" style="86" customWidth="1"/>
    <col min="13" max="13" width="22.1796875" style="86" customWidth="1"/>
    <col min="14" max="14" width="26.453125" style="86" customWidth="1"/>
    <col min="15" max="15" width="57.1796875" style="86" customWidth="1"/>
    <col min="16" max="16384" width="14" style="86"/>
  </cols>
  <sheetData>
    <row r="1" spans="1:15" ht="16.5" thickBot="1" x14ac:dyDescent="0.4">
      <c r="A1" s="131" t="s">
        <v>139</v>
      </c>
      <c r="B1" s="131"/>
      <c r="C1" s="131"/>
      <c r="D1" s="104"/>
      <c r="E1" s="113" t="s">
        <v>175</v>
      </c>
      <c r="H1" s="115" t="s">
        <v>176</v>
      </c>
      <c r="I1" s="115" t="s">
        <v>174</v>
      </c>
      <c r="K1" s="115" t="s">
        <v>174</v>
      </c>
    </row>
    <row r="2" spans="1:15" ht="15" thickBot="1" x14ac:dyDescent="0.4">
      <c r="A2" s="132" t="s">
        <v>173</v>
      </c>
      <c r="B2" s="131"/>
      <c r="C2" s="131"/>
      <c r="D2" s="104"/>
      <c r="E2" s="114" t="s">
        <v>172</v>
      </c>
      <c r="K2" s="107" t="s">
        <v>140</v>
      </c>
      <c r="L2" s="107" t="s">
        <v>141</v>
      </c>
      <c r="M2" s="107" t="s">
        <v>142</v>
      </c>
      <c r="N2" s="107" t="s">
        <v>143</v>
      </c>
      <c r="O2" s="108" t="s">
        <v>144</v>
      </c>
    </row>
    <row r="3" spans="1:15" ht="28.5" thickBot="1" x14ac:dyDescent="0.4">
      <c r="A3" s="131" t="s">
        <v>137</v>
      </c>
      <c r="B3" s="131"/>
      <c r="C3" s="101" t="s">
        <v>138</v>
      </c>
      <c r="D3" s="99"/>
      <c r="E3" s="116">
        <v>1980</v>
      </c>
      <c r="F3" s="116"/>
      <c r="G3" s="120"/>
      <c r="H3" s="120"/>
      <c r="I3"/>
      <c r="J3"/>
      <c r="K3" s="107" t="s">
        <v>145</v>
      </c>
      <c r="L3" s="109" t="s">
        <v>146</v>
      </c>
      <c r="M3" s="109" t="s">
        <v>147</v>
      </c>
      <c r="N3" s="110">
        <v>4.5449999999999997E-2</v>
      </c>
      <c r="O3" s="111" t="s">
        <v>148</v>
      </c>
    </row>
    <row r="4" spans="1:15" ht="42.5" thickBot="1" x14ac:dyDescent="0.4">
      <c r="A4" s="102">
        <v>16803</v>
      </c>
      <c r="B4" s="102">
        <v>24472</v>
      </c>
      <c r="C4" s="103">
        <v>4.5499999999999999E-2</v>
      </c>
      <c r="D4" s="99"/>
      <c r="E4" s="116">
        <v>1981</v>
      </c>
      <c r="F4" s="116"/>
      <c r="G4" s="120"/>
      <c r="I4" s="123">
        <v>4.5499999999999999E-2</v>
      </c>
      <c r="J4"/>
      <c r="K4" s="107" t="s">
        <v>149</v>
      </c>
      <c r="L4" s="109" t="s">
        <v>150</v>
      </c>
      <c r="M4" s="112">
        <v>0.06</v>
      </c>
      <c r="N4" s="107" t="s">
        <v>151</v>
      </c>
      <c r="O4" s="111" t="s">
        <v>152</v>
      </c>
    </row>
    <row r="5" spans="1:15" ht="15" thickBot="1" x14ac:dyDescent="0.4">
      <c r="A5" s="102">
        <v>24473</v>
      </c>
      <c r="B5" s="102">
        <v>26298</v>
      </c>
      <c r="C5" s="103">
        <v>4.4999999999999998E-2</v>
      </c>
      <c r="D5" s="105" t="s">
        <v>177</v>
      </c>
      <c r="E5" s="116">
        <v>1982</v>
      </c>
      <c r="F5" s="116"/>
      <c r="G5" s="116"/>
      <c r="H5" s="116"/>
      <c r="K5" s="107" t="s">
        <v>153</v>
      </c>
      <c r="L5" s="109" t="s">
        <v>154</v>
      </c>
      <c r="M5" s="112">
        <v>6.5000000000000002E-2</v>
      </c>
      <c r="N5" s="110">
        <v>6.5000000000000002E-2</v>
      </c>
      <c r="O5" s="111" t="s">
        <v>155</v>
      </c>
    </row>
    <row r="6" spans="1:15" ht="28.5" thickBot="1" x14ac:dyDescent="0.4">
      <c r="A6" s="102">
        <v>26299</v>
      </c>
      <c r="B6" s="102">
        <v>28156</v>
      </c>
      <c r="C6" s="126">
        <v>6.7549999999999999E-2</v>
      </c>
      <c r="E6" s="116">
        <v>1983</v>
      </c>
      <c r="F6" s="116"/>
      <c r="G6" s="116"/>
      <c r="H6" s="116"/>
      <c r="K6" s="107" t="s">
        <v>156</v>
      </c>
      <c r="L6" s="109" t="s">
        <v>157</v>
      </c>
      <c r="M6" s="112">
        <v>0.115</v>
      </c>
      <c r="N6" s="110">
        <v>0.115</v>
      </c>
      <c r="O6" s="111" t="s">
        <v>158</v>
      </c>
    </row>
    <row r="7" spans="1:15" ht="28.5" thickBot="1" x14ac:dyDescent="0.4">
      <c r="A7" s="102">
        <v>28157</v>
      </c>
      <c r="B7" s="102">
        <v>30010</v>
      </c>
      <c r="C7" s="127">
        <v>0.09</v>
      </c>
      <c r="E7" s="116">
        <v>1984</v>
      </c>
      <c r="F7" s="116"/>
      <c r="G7" s="116"/>
      <c r="H7" s="118">
        <v>0.1125</v>
      </c>
      <c r="K7" s="107">
        <v>1995</v>
      </c>
      <c r="L7" s="109" t="s">
        <v>157</v>
      </c>
      <c r="M7" s="112">
        <v>0.125</v>
      </c>
      <c r="N7" s="110">
        <v>0.125</v>
      </c>
      <c r="O7" s="111" t="s">
        <v>159</v>
      </c>
    </row>
    <row r="8" spans="1:15" ht="28.5" thickBot="1" x14ac:dyDescent="0.4">
      <c r="A8" s="102">
        <v>30011</v>
      </c>
      <c r="B8" s="102">
        <v>31320</v>
      </c>
      <c r="C8" s="126">
        <v>0.1125</v>
      </c>
      <c r="E8" s="116">
        <v>1985</v>
      </c>
      <c r="F8" s="116"/>
      <c r="G8" s="116"/>
      <c r="H8" s="118">
        <v>6.5000000000000002E-2</v>
      </c>
      <c r="K8" s="107" t="s">
        <v>160</v>
      </c>
      <c r="L8" s="109" t="s">
        <v>157</v>
      </c>
      <c r="M8" s="112">
        <v>0.13500000000000001</v>
      </c>
      <c r="N8" s="110">
        <v>0.13500000000000001</v>
      </c>
      <c r="O8" s="111" t="s">
        <v>161</v>
      </c>
    </row>
    <row r="9" spans="1:15" ht="15" thickBot="1" x14ac:dyDescent="0.4">
      <c r="A9" s="102">
        <v>31321</v>
      </c>
      <c r="B9" s="102">
        <v>34334</v>
      </c>
      <c r="C9" s="103">
        <v>6.5000000000000002E-2</v>
      </c>
      <c r="E9" s="116">
        <v>1986</v>
      </c>
      <c r="F9" s="116"/>
      <c r="G9" s="116"/>
      <c r="I9" s="124">
        <v>6.5000000000000002E-2</v>
      </c>
      <c r="K9" s="107">
        <v>2003</v>
      </c>
      <c r="L9" s="109" t="s">
        <v>162</v>
      </c>
      <c r="M9" s="112">
        <v>0.13500000000000001</v>
      </c>
      <c r="N9" s="110">
        <v>0.13500000000000001</v>
      </c>
      <c r="O9" s="111" t="s">
        <v>163</v>
      </c>
    </row>
    <row r="10" spans="1:15" ht="15" thickBot="1" x14ac:dyDescent="0.4">
      <c r="A10" s="102">
        <v>34335</v>
      </c>
      <c r="B10" s="102">
        <v>34699</v>
      </c>
      <c r="C10" s="103">
        <v>0.115</v>
      </c>
      <c r="E10" s="116">
        <v>1987</v>
      </c>
      <c r="F10" s="116"/>
      <c r="G10" s="116"/>
      <c r="I10" s="124">
        <v>0.115</v>
      </c>
      <c r="K10" s="107">
        <v>2004</v>
      </c>
      <c r="L10" s="109" t="s">
        <v>162</v>
      </c>
      <c r="M10" s="112">
        <v>0.14499999999999999</v>
      </c>
      <c r="N10" s="110">
        <v>0.14499999999999999</v>
      </c>
      <c r="O10" s="111" t="s">
        <v>164</v>
      </c>
    </row>
    <row r="11" spans="1:15" ht="15" thickBot="1" x14ac:dyDescent="0.4">
      <c r="A11" s="102">
        <v>34700</v>
      </c>
      <c r="B11" s="102">
        <v>35064</v>
      </c>
      <c r="C11" s="103">
        <v>0.125</v>
      </c>
      <c r="E11" s="116">
        <v>1988</v>
      </c>
      <c r="F11" s="116"/>
      <c r="G11" s="116"/>
      <c r="H11" s="116"/>
      <c r="I11" s="124">
        <v>0.125</v>
      </c>
      <c r="K11" s="107">
        <v>2005</v>
      </c>
      <c r="L11" s="109" t="s">
        <v>162</v>
      </c>
      <c r="M11" s="112">
        <v>0.15</v>
      </c>
      <c r="N11" s="110">
        <v>0.15</v>
      </c>
      <c r="O11" s="111" t="s">
        <v>165</v>
      </c>
    </row>
    <row r="12" spans="1:15" ht="15" thickBot="1" x14ac:dyDescent="0.4">
      <c r="A12" s="102">
        <v>35065</v>
      </c>
      <c r="B12" s="102">
        <v>37986</v>
      </c>
      <c r="C12" s="103">
        <v>0.13500000000000001</v>
      </c>
      <c r="E12" s="116">
        <v>1989</v>
      </c>
      <c r="F12" s="116"/>
      <c r="G12" s="116"/>
      <c r="H12" s="118">
        <v>6.5000000000000002E-2</v>
      </c>
      <c r="K12" s="107" t="s">
        <v>166</v>
      </c>
      <c r="L12" s="109" t="s">
        <v>162</v>
      </c>
      <c r="M12" s="112">
        <v>0.155</v>
      </c>
      <c r="N12" s="110">
        <v>0.155</v>
      </c>
      <c r="O12" s="111" t="s">
        <v>165</v>
      </c>
    </row>
    <row r="13" spans="1:15" ht="28.5" thickBot="1" x14ac:dyDescent="0.4">
      <c r="A13" s="102">
        <v>37987</v>
      </c>
      <c r="B13" s="102">
        <v>38352</v>
      </c>
      <c r="C13" s="103">
        <v>0.14499999999999999</v>
      </c>
      <c r="E13" s="117">
        <v>1990</v>
      </c>
      <c r="F13" s="118">
        <v>6.5000000000000002E-2</v>
      </c>
      <c r="G13" s="116"/>
      <c r="H13" s="116"/>
      <c r="K13" s="107" t="s">
        <v>167</v>
      </c>
      <c r="L13" s="109" t="s">
        <v>162</v>
      </c>
      <c r="M13" s="112">
        <v>0.16</v>
      </c>
      <c r="N13" s="110">
        <v>0.16</v>
      </c>
      <c r="O13" s="111" t="s">
        <v>168</v>
      </c>
    </row>
    <row r="14" spans="1:15" ht="28.5" thickBot="1" x14ac:dyDescent="0.4">
      <c r="A14" s="102">
        <v>38353</v>
      </c>
      <c r="B14" s="102">
        <v>38717</v>
      </c>
      <c r="C14" s="106">
        <v>0.15</v>
      </c>
      <c r="E14" s="117">
        <v>1991</v>
      </c>
      <c r="F14" s="118">
        <v>6.5000000000000002E-2</v>
      </c>
      <c r="G14" s="116"/>
      <c r="H14" s="116"/>
      <c r="K14" s="107" t="s">
        <v>169</v>
      </c>
      <c r="L14" s="109" t="s">
        <v>170</v>
      </c>
      <c r="M14" s="112">
        <v>0.16</v>
      </c>
      <c r="N14" s="110">
        <v>0.16</v>
      </c>
      <c r="O14" s="111" t="s">
        <v>171</v>
      </c>
    </row>
    <row r="15" spans="1:15" x14ac:dyDescent="0.35">
      <c r="A15" s="102">
        <v>38718</v>
      </c>
      <c r="B15" s="102">
        <v>39447</v>
      </c>
      <c r="C15" s="103">
        <v>0.155</v>
      </c>
      <c r="E15" s="117">
        <v>1992</v>
      </c>
      <c r="F15" s="118">
        <v>6.5000000000000002E-2</v>
      </c>
      <c r="G15" s="116"/>
      <c r="H15" s="116"/>
    </row>
    <row r="16" spans="1:15" x14ac:dyDescent="0.35">
      <c r="A16" s="102">
        <v>39448</v>
      </c>
      <c r="B16" s="102">
        <v>46387</v>
      </c>
      <c r="C16" s="106">
        <v>0.16</v>
      </c>
      <c r="E16" s="117">
        <v>1993</v>
      </c>
      <c r="F16" s="118">
        <v>6.5000000000000002E-2</v>
      </c>
      <c r="G16" s="116"/>
      <c r="H16" s="121">
        <v>0.08</v>
      </c>
    </row>
    <row r="17" spans="1:9" x14ac:dyDescent="0.35">
      <c r="A17" s="100"/>
      <c r="B17" s="100"/>
      <c r="E17" s="117">
        <v>1994</v>
      </c>
      <c r="F17" s="118">
        <v>0.11509999999999999</v>
      </c>
      <c r="G17" s="116"/>
      <c r="H17" s="122">
        <v>0.125</v>
      </c>
    </row>
    <row r="18" spans="1:9" x14ac:dyDescent="0.35">
      <c r="A18"/>
      <c r="B18" s="100"/>
      <c r="E18" s="116">
        <v>1995</v>
      </c>
      <c r="F18" s="116"/>
      <c r="G18" s="116"/>
      <c r="H18" s="118">
        <v>0.125</v>
      </c>
    </row>
    <row r="19" spans="1:9" x14ac:dyDescent="0.35">
      <c r="A19" s="100"/>
      <c r="B19" s="100"/>
      <c r="E19" s="116">
        <v>1996</v>
      </c>
      <c r="F19" s="116"/>
      <c r="G19" s="116"/>
      <c r="H19" s="118">
        <v>0.13500000000000001</v>
      </c>
      <c r="I19" s="125">
        <v>0.13500000000000001</v>
      </c>
    </row>
    <row r="20" spans="1:9" x14ac:dyDescent="0.35">
      <c r="A20" s="100"/>
      <c r="B20" s="100"/>
      <c r="E20" s="117">
        <v>1997</v>
      </c>
      <c r="F20" s="119">
        <v>0.1351</v>
      </c>
      <c r="G20" s="116"/>
      <c r="H20" s="116"/>
      <c r="I20" s="125">
        <v>0.13500000000000001</v>
      </c>
    </row>
    <row r="21" spans="1:9" x14ac:dyDescent="0.35">
      <c r="A21" s="100"/>
      <c r="B21" s="100"/>
      <c r="E21" s="117">
        <v>1998</v>
      </c>
      <c r="F21" s="119">
        <v>0.1351</v>
      </c>
      <c r="G21" s="116"/>
      <c r="H21" s="116"/>
      <c r="I21" s="125">
        <v>0.13500000000000001</v>
      </c>
    </row>
    <row r="22" spans="1:9" x14ac:dyDescent="0.35">
      <c r="A22" s="100"/>
      <c r="B22" s="100"/>
      <c r="E22" s="116">
        <v>1999</v>
      </c>
      <c r="F22" s="116"/>
      <c r="G22" s="116"/>
      <c r="H22" s="116"/>
      <c r="I22" s="125">
        <v>0.13500000000000001</v>
      </c>
    </row>
    <row r="23" spans="1:9" x14ac:dyDescent="0.35">
      <c r="A23" s="100"/>
      <c r="B23" s="100"/>
      <c r="E23" s="116">
        <v>2000</v>
      </c>
      <c r="F23" s="116"/>
      <c r="G23" s="116"/>
      <c r="H23" s="116"/>
      <c r="I23" s="125">
        <v>0.13500000000000001</v>
      </c>
    </row>
    <row r="24" spans="1:9" x14ac:dyDescent="0.35">
      <c r="A24" s="100"/>
      <c r="B24" s="100"/>
      <c r="E24" s="116">
        <v>2001</v>
      </c>
      <c r="F24" s="116"/>
      <c r="G24" s="116"/>
      <c r="H24" s="116"/>
      <c r="I24" s="125">
        <v>0.13500000000000001</v>
      </c>
    </row>
    <row r="25" spans="1:9" x14ac:dyDescent="0.35">
      <c r="A25" s="100"/>
      <c r="B25" s="100"/>
      <c r="E25" s="116">
        <v>2002</v>
      </c>
      <c r="F25" s="116"/>
      <c r="G25" s="116"/>
      <c r="H25" s="116"/>
      <c r="I25" s="125">
        <v>0.13500000000000001</v>
      </c>
    </row>
    <row r="26" spans="1:9" x14ac:dyDescent="0.35">
      <c r="A26" s="100"/>
      <c r="B26" s="100"/>
      <c r="E26" s="116">
        <v>2003</v>
      </c>
      <c r="F26" s="116"/>
      <c r="G26" s="116"/>
      <c r="H26" s="116"/>
      <c r="I26" s="125">
        <v>0.13500000000000001</v>
      </c>
    </row>
    <row r="27" spans="1:9" x14ac:dyDescent="0.35">
      <c r="A27" s="100"/>
      <c r="B27" s="100"/>
      <c r="E27" s="117">
        <v>2004</v>
      </c>
      <c r="F27" s="118">
        <v>0.14510000000000001</v>
      </c>
      <c r="G27" s="116"/>
      <c r="H27" s="116"/>
      <c r="I27" s="125">
        <v>0.14499999999999999</v>
      </c>
    </row>
    <row r="28" spans="1:9" x14ac:dyDescent="0.35">
      <c r="A28" s="100"/>
      <c r="B28" s="100"/>
      <c r="E28" s="116">
        <v>2005</v>
      </c>
      <c r="F28" s="116"/>
      <c r="G28" s="116"/>
      <c r="H28" s="116"/>
    </row>
    <row r="29" spans="1:9" x14ac:dyDescent="0.35">
      <c r="A29" s="100"/>
      <c r="B29" s="100"/>
      <c r="E29" s="116">
        <v>2006</v>
      </c>
      <c r="F29" s="116"/>
      <c r="G29" s="116"/>
      <c r="H29" s="116"/>
    </row>
    <row r="30" spans="1:9" x14ac:dyDescent="0.35">
      <c r="A30" s="100"/>
      <c r="B30" s="100"/>
      <c r="E30" s="116">
        <v>2007</v>
      </c>
      <c r="F30" s="116"/>
      <c r="G30" s="116"/>
      <c r="H30" s="118">
        <v>0.155</v>
      </c>
    </row>
    <row r="31" spans="1:9" x14ac:dyDescent="0.35">
      <c r="A31" s="100"/>
      <c r="B31" s="100"/>
      <c r="E31" s="116">
        <v>2008</v>
      </c>
      <c r="F31" s="116"/>
      <c r="G31" s="116"/>
      <c r="H31" s="116"/>
      <c r="I31" s="125">
        <v>0.16</v>
      </c>
    </row>
    <row r="32" spans="1:9" x14ac:dyDescent="0.35">
      <c r="A32" s="100"/>
      <c r="B32" s="100"/>
      <c r="E32" s="116">
        <v>2009</v>
      </c>
      <c r="F32" s="116"/>
      <c r="G32" s="116"/>
      <c r="H32" s="116"/>
      <c r="I32" s="125">
        <v>0.16</v>
      </c>
    </row>
    <row r="33" spans="1:9" x14ac:dyDescent="0.35">
      <c r="A33" s="100"/>
      <c r="B33" s="100"/>
      <c r="E33" s="116">
        <v>2010</v>
      </c>
      <c r="F33" s="116"/>
      <c r="G33" s="116"/>
      <c r="H33" s="116"/>
      <c r="I33" s="125">
        <v>0.16</v>
      </c>
    </row>
    <row r="34" spans="1:9" x14ac:dyDescent="0.35">
      <c r="A34" s="100"/>
      <c r="B34" s="100"/>
      <c r="E34" s="116">
        <v>2011</v>
      </c>
      <c r="F34" s="116"/>
      <c r="G34" s="116"/>
      <c r="H34" s="118">
        <v>0.16</v>
      </c>
      <c r="I34" s="125">
        <v>0.16</v>
      </c>
    </row>
    <row r="35" spans="1:9" x14ac:dyDescent="0.35">
      <c r="A35" s="100"/>
      <c r="B35" s="100"/>
      <c r="E35" s="116">
        <v>2012</v>
      </c>
      <c r="F35" s="116"/>
      <c r="G35" s="116"/>
      <c r="H35" s="116"/>
      <c r="I35" s="125">
        <v>0.16</v>
      </c>
    </row>
    <row r="36" spans="1:9" x14ac:dyDescent="0.35">
      <c r="A36" s="100"/>
      <c r="B36" s="100"/>
      <c r="E36" s="116">
        <v>2013</v>
      </c>
      <c r="F36" s="116"/>
      <c r="G36" s="116"/>
      <c r="H36" s="116"/>
      <c r="I36" s="125">
        <v>0.16</v>
      </c>
    </row>
    <row r="37" spans="1:9" x14ac:dyDescent="0.35">
      <c r="A37" s="100"/>
      <c r="B37" s="100"/>
      <c r="E37" s="116">
        <v>2014</v>
      </c>
      <c r="F37" s="116"/>
      <c r="G37" s="116"/>
      <c r="H37" s="116"/>
      <c r="I37" s="125">
        <v>0.16</v>
      </c>
    </row>
    <row r="38" spans="1:9" x14ac:dyDescent="0.35">
      <c r="A38" s="100"/>
      <c r="B38" s="100"/>
      <c r="E38" s="116">
        <v>2015</v>
      </c>
      <c r="F38" s="116"/>
      <c r="G38" s="116"/>
      <c r="H38" s="116"/>
      <c r="I38" s="125">
        <v>0.16</v>
      </c>
    </row>
    <row r="39" spans="1:9" x14ac:dyDescent="0.35">
      <c r="A39" s="100"/>
      <c r="B39" s="100"/>
      <c r="E39" s="116">
        <v>2016</v>
      </c>
      <c r="F39" s="116"/>
      <c r="G39" s="116"/>
      <c r="H39" s="116"/>
      <c r="I39" s="125">
        <v>0.16</v>
      </c>
    </row>
    <row r="40" spans="1:9" x14ac:dyDescent="0.35">
      <c r="E40" s="116">
        <v>2017</v>
      </c>
      <c r="F40" s="116"/>
      <c r="G40" s="116"/>
      <c r="H40" s="116"/>
      <c r="I40" s="125">
        <v>0.16</v>
      </c>
    </row>
    <row r="41" spans="1:9" x14ac:dyDescent="0.35">
      <c r="E41" s="116">
        <v>2018</v>
      </c>
      <c r="F41" s="116"/>
      <c r="G41" s="116"/>
      <c r="H41" s="116"/>
      <c r="I41" s="125">
        <v>0.16</v>
      </c>
    </row>
    <row r="42" spans="1:9" x14ac:dyDescent="0.35">
      <c r="E42" s="116">
        <v>2019</v>
      </c>
      <c r="F42" s="116"/>
      <c r="G42" s="116"/>
      <c r="H42" s="116"/>
      <c r="I42" s="125">
        <v>0.16</v>
      </c>
    </row>
    <row r="43" spans="1:9" x14ac:dyDescent="0.35">
      <c r="E43" s="116">
        <v>2020</v>
      </c>
      <c r="F43" s="116"/>
      <c r="G43" s="116"/>
      <c r="H43" s="116"/>
      <c r="I43" s="125">
        <v>0.16</v>
      </c>
    </row>
    <row r="44" spans="1:9" x14ac:dyDescent="0.35">
      <c r="E44" s="116">
        <v>2021</v>
      </c>
      <c r="F44" s="116"/>
      <c r="G44" s="116"/>
      <c r="H44" s="116"/>
      <c r="I44" s="125">
        <v>0.16</v>
      </c>
    </row>
    <row r="45" spans="1:9" x14ac:dyDescent="0.35">
      <c r="E45" s="116">
        <v>2022</v>
      </c>
      <c r="F45" s="116"/>
      <c r="G45" s="116"/>
      <c r="H45" s="116"/>
      <c r="I45" s="125">
        <v>0.16</v>
      </c>
    </row>
    <row r="46" spans="1:9" x14ac:dyDescent="0.35">
      <c r="E46" s="116">
        <v>2023</v>
      </c>
      <c r="F46" s="116"/>
      <c r="G46" s="116"/>
      <c r="H46" s="116"/>
      <c r="I46" s="125">
        <v>0.16</v>
      </c>
    </row>
    <row r="47" spans="1:9" x14ac:dyDescent="0.35">
      <c r="E47" s="116">
        <v>2024</v>
      </c>
      <c r="F47" s="116"/>
      <c r="G47" s="116"/>
      <c r="H47" s="116"/>
      <c r="I47" s="125">
        <v>0.16</v>
      </c>
    </row>
    <row r="48" spans="1:9" x14ac:dyDescent="0.35">
      <c r="E48" s="116">
        <v>2025</v>
      </c>
      <c r="F48" s="116"/>
      <c r="G48" s="116"/>
      <c r="H48" s="116"/>
      <c r="I48" s="125">
        <v>0.16</v>
      </c>
    </row>
    <row r="49" spans="5:9" x14ac:dyDescent="0.35">
      <c r="E49" s="116">
        <v>2026</v>
      </c>
      <c r="F49" s="116"/>
      <c r="G49" s="116"/>
      <c r="H49" s="116"/>
      <c r="I49" s="125">
        <v>0.16</v>
      </c>
    </row>
  </sheetData>
  <mergeCells count="3">
    <mergeCell ref="A3:B3"/>
    <mergeCell ref="A1:C1"/>
    <mergeCell ref="A2:C2"/>
  </mergeCells>
  <phoneticPr fontId="28" type="noConversion"/>
  <hyperlinks>
    <hyperlink ref="E2" r:id="rId1" xr:uid="{570C7549-0293-44E3-AE17-181EBC6373B5}"/>
    <hyperlink ref="A2" r:id="rId2" xr:uid="{7D591C2E-8D94-44FA-A9EF-90DF3E147D16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I78"/>
  <sheetViews>
    <sheetView zoomScale="150" zoomScaleNormal="150" workbookViewId="0">
      <selection activeCell="A79" sqref="A79"/>
    </sheetView>
  </sheetViews>
  <sheetFormatPr baseColWidth="10" defaultColWidth="11.453125" defaultRowHeight="14.5" x14ac:dyDescent="0.35"/>
  <cols>
    <col min="1" max="1" width="18.453125" customWidth="1"/>
    <col min="2" max="4" width="18.453125" style="21" customWidth="1"/>
    <col min="5" max="6" width="18.7265625" bestFit="1" customWidth="1"/>
    <col min="7" max="9" width="16.81640625" bestFit="1" customWidth="1"/>
    <col min="10" max="10" width="20" bestFit="1" customWidth="1"/>
    <col min="11" max="11" width="14.26953125" bestFit="1" customWidth="1"/>
  </cols>
  <sheetData>
    <row r="1" spans="1:9" s="18" customFormat="1" ht="15" thickBot="1" x14ac:dyDescent="0.4">
      <c r="A1" s="32" t="s">
        <v>23</v>
      </c>
      <c r="B1" s="33" t="s">
        <v>24</v>
      </c>
      <c r="C1" s="33" t="s">
        <v>25</v>
      </c>
      <c r="D1" s="33" t="s">
        <v>26</v>
      </c>
      <c r="E1" s="33" t="s">
        <v>83</v>
      </c>
      <c r="F1" s="36" t="s">
        <v>84</v>
      </c>
      <c r="I1" s="34"/>
    </row>
    <row r="2" spans="1:9" ht="15" thickTop="1" x14ac:dyDescent="0.35">
      <c r="A2" s="28">
        <v>1950</v>
      </c>
      <c r="B2" s="29">
        <v>60</v>
      </c>
      <c r="C2" s="29">
        <v>0</v>
      </c>
      <c r="D2" s="29">
        <f>Table10[[#This Row],[AUX TRANSPORTE]]+Table10[[#This Row],[SMLV]]</f>
        <v>60</v>
      </c>
      <c r="E2" s="35" t="s">
        <v>36</v>
      </c>
      <c r="F2" s="35" t="s">
        <v>36</v>
      </c>
      <c r="I2" s="22"/>
    </row>
    <row r="3" spans="1:9" x14ac:dyDescent="0.35">
      <c r="A3" s="28">
        <v>1951</v>
      </c>
      <c r="B3" s="29">
        <v>60</v>
      </c>
      <c r="C3" s="29">
        <v>0</v>
      </c>
      <c r="D3" s="29">
        <f>Table10[[#This Row],[AUX TRANSPORTE]]+Table10[[#This Row],[SMLV]]</f>
        <v>60</v>
      </c>
      <c r="E3" s="35" t="s">
        <v>36</v>
      </c>
      <c r="F3" s="35" t="s">
        <v>36</v>
      </c>
      <c r="I3" s="22"/>
    </row>
    <row r="4" spans="1:9" x14ac:dyDescent="0.35">
      <c r="A4" s="28">
        <v>1952</v>
      </c>
      <c r="B4" s="29">
        <v>60</v>
      </c>
      <c r="C4" s="29">
        <v>0</v>
      </c>
      <c r="D4" s="29">
        <f>Table10[[#This Row],[AUX TRANSPORTE]]+Table10[[#This Row],[SMLV]]</f>
        <v>60</v>
      </c>
      <c r="E4" s="35" t="s">
        <v>36</v>
      </c>
      <c r="F4" s="35" t="s">
        <v>36</v>
      </c>
      <c r="I4" s="22"/>
    </row>
    <row r="5" spans="1:9" x14ac:dyDescent="0.35">
      <c r="A5" s="28">
        <v>1953</v>
      </c>
      <c r="B5" s="29">
        <v>60</v>
      </c>
      <c r="C5" s="29">
        <v>0</v>
      </c>
      <c r="D5" s="29">
        <f>Table10[[#This Row],[AUX TRANSPORTE]]+Table10[[#This Row],[SMLV]]</f>
        <v>60</v>
      </c>
      <c r="E5" s="35" t="s">
        <v>36</v>
      </c>
      <c r="F5" s="35" t="s">
        <v>36</v>
      </c>
      <c r="I5" s="22"/>
    </row>
    <row r="6" spans="1:9" x14ac:dyDescent="0.35">
      <c r="A6" s="28">
        <v>1954</v>
      </c>
      <c r="B6" s="29">
        <v>60</v>
      </c>
      <c r="C6" s="29">
        <v>0</v>
      </c>
      <c r="D6" s="29">
        <f>Table10[[#This Row],[AUX TRANSPORTE]]+Table10[[#This Row],[SMLV]]</f>
        <v>60</v>
      </c>
      <c r="E6" s="35" t="s">
        <v>36</v>
      </c>
      <c r="F6" s="35" t="s">
        <v>36</v>
      </c>
      <c r="I6" s="22"/>
    </row>
    <row r="7" spans="1:9" x14ac:dyDescent="0.35">
      <c r="A7" s="28">
        <v>1955</v>
      </c>
      <c r="B7" s="29">
        <v>60</v>
      </c>
      <c r="C7" s="29">
        <v>0</v>
      </c>
      <c r="D7" s="29">
        <f>Table10[[#This Row],[AUX TRANSPORTE]]+Table10[[#This Row],[SMLV]]</f>
        <v>60</v>
      </c>
      <c r="E7" s="35" t="s">
        <v>37</v>
      </c>
      <c r="F7" s="35" t="s">
        <v>36</v>
      </c>
      <c r="I7" s="22"/>
    </row>
    <row r="8" spans="1:9" x14ac:dyDescent="0.35">
      <c r="A8" s="28">
        <v>1956</v>
      </c>
      <c r="B8" s="29">
        <v>135</v>
      </c>
      <c r="C8" s="29">
        <v>0</v>
      </c>
      <c r="D8" s="29">
        <f>Table10[[#This Row],[AUX TRANSPORTE]]+Table10[[#This Row],[SMLV]]</f>
        <v>135</v>
      </c>
      <c r="E8" s="35" t="s">
        <v>38</v>
      </c>
      <c r="F8" s="35" t="s">
        <v>36</v>
      </c>
      <c r="I8" s="22"/>
    </row>
    <row r="9" spans="1:9" x14ac:dyDescent="0.35">
      <c r="A9" s="28">
        <v>1957</v>
      </c>
      <c r="B9" s="29">
        <v>155</v>
      </c>
      <c r="C9" s="29">
        <v>0</v>
      </c>
      <c r="D9" s="29">
        <f>Table10[[#This Row],[AUX TRANSPORTE]]+Table10[[#This Row],[SMLV]]</f>
        <v>155</v>
      </c>
      <c r="E9" s="35" t="s">
        <v>38</v>
      </c>
      <c r="F9" s="35" t="s">
        <v>36</v>
      </c>
      <c r="I9" s="22"/>
    </row>
    <row r="10" spans="1:9" x14ac:dyDescent="0.35">
      <c r="A10" s="28">
        <v>1958</v>
      </c>
      <c r="B10" s="29">
        <v>155</v>
      </c>
      <c r="C10" s="29">
        <v>0</v>
      </c>
      <c r="D10" s="29">
        <f>Table10[[#This Row],[AUX TRANSPORTE]]+Table10[[#This Row],[SMLV]]</f>
        <v>155</v>
      </c>
      <c r="E10" s="35" t="s">
        <v>38</v>
      </c>
      <c r="F10" s="35" t="s">
        <v>36</v>
      </c>
      <c r="I10" s="22"/>
    </row>
    <row r="11" spans="1:9" x14ac:dyDescent="0.35">
      <c r="A11" s="28">
        <v>1959</v>
      </c>
      <c r="B11" s="29">
        <v>155</v>
      </c>
      <c r="C11" s="29">
        <v>0</v>
      </c>
      <c r="D11" s="29">
        <f>Table10[[#This Row],[AUX TRANSPORTE]]+Table10[[#This Row],[SMLV]]</f>
        <v>155</v>
      </c>
      <c r="E11" s="35" t="s">
        <v>38</v>
      </c>
      <c r="F11" s="35" t="s">
        <v>36</v>
      </c>
      <c r="I11" s="22"/>
    </row>
    <row r="12" spans="1:9" x14ac:dyDescent="0.35">
      <c r="A12" s="28">
        <v>1960</v>
      </c>
      <c r="B12" s="29">
        <v>189</v>
      </c>
      <c r="C12" s="29">
        <v>0</v>
      </c>
      <c r="D12" s="29">
        <f>Table10[[#This Row],[AUX TRANSPORTE]]+Table10[[#This Row],[SMLV]]</f>
        <v>189</v>
      </c>
      <c r="E12" s="35" t="s">
        <v>39</v>
      </c>
      <c r="F12" s="35" t="s">
        <v>36</v>
      </c>
      <c r="I12" s="22"/>
    </row>
    <row r="13" spans="1:9" x14ac:dyDescent="0.35">
      <c r="A13" s="28">
        <v>1961</v>
      </c>
      <c r="B13" s="29">
        <v>189</v>
      </c>
      <c r="C13" s="29">
        <v>0</v>
      </c>
      <c r="D13" s="29">
        <f>Table10[[#This Row],[AUX TRANSPORTE]]+Table10[[#This Row],[SMLV]]</f>
        <v>189</v>
      </c>
      <c r="E13" s="35" t="s">
        <v>39</v>
      </c>
      <c r="F13" s="35" t="s">
        <v>36</v>
      </c>
      <c r="I13" s="22"/>
    </row>
    <row r="14" spans="1:9" x14ac:dyDescent="0.35">
      <c r="A14" s="28">
        <v>1962</v>
      </c>
      <c r="B14" s="29">
        <v>519</v>
      </c>
      <c r="C14" s="29">
        <v>0</v>
      </c>
      <c r="D14" s="29">
        <f>Table10[[#This Row],[AUX TRANSPORTE]]+Table10[[#This Row],[SMLV]]</f>
        <v>519</v>
      </c>
      <c r="E14" s="35" t="s">
        <v>40</v>
      </c>
      <c r="F14" s="35" t="s">
        <v>36</v>
      </c>
      <c r="I14" s="22"/>
    </row>
    <row r="15" spans="1:9" x14ac:dyDescent="0.35">
      <c r="A15" s="28">
        <v>1963</v>
      </c>
      <c r="B15" s="29">
        <v>420</v>
      </c>
      <c r="C15" s="29">
        <v>0</v>
      </c>
      <c r="D15" s="29">
        <f>Table10[[#This Row],[AUX TRANSPORTE]]+Table10[[#This Row],[SMLV]]</f>
        <v>420</v>
      </c>
      <c r="E15" s="35" t="s">
        <v>41</v>
      </c>
      <c r="F15" s="35" t="s">
        <v>36</v>
      </c>
      <c r="I15" s="22"/>
    </row>
    <row r="16" spans="1:9" x14ac:dyDescent="0.35">
      <c r="A16" s="28">
        <v>1964</v>
      </c>
      <c r="B16" s="29">
        <v>420</v>
      </c>
      <c r="C16" s="29">
        <v>0</v>
      </c>
      <c r="D16" s="29">
        <f>Table10[[#This Row],[AUX TRANSPORTE]]+Table10[[#This Row],[SMLV]]</f>
        <v>420</v>
      </c>
      <c r="E16" s="35" t="s">
        <v>41</v>
      </c>
      <c r="F16" s="35" t="s">
        <v>36</v>
      </c>
      <c r="I16" s="22"/>
    </row>
    <row r="17" spans="1:9" x14ac:dyDescent="0.35">
      <c r="A17" s="28">
        <v>1965</v>
      </c>
      <c r="B17" s="29">
        <v>420</v>
      </c>
      <c r="C17" s="29">
        <v>0</v>
      </c>
      <c r="D17" s="29">
        <f>Table10[[#This Row],[AUX TRANSPORTE]]+Table10[[#This Row],[SMLV]]</f>
        <v>420</v>
      </c>
      <c r="E17" s="35" t="s">
        <v>41</v>
      </c>
      <c r="F17" s="35" t="s">
        <v>36</v>
      </c>
      <c r="I17" s="22"/>
    </row>
    <row r="18" spans="1:9" x14ac:dyDescent="0.35">
      <c r="A18" s="28">
        <v>1966</v>
      </c>
      <c r="B18" s="29">
        <v>420</v>
      </c>
      <c r="C18" s="29">
        <v>0</v>
      </c>
      <c r="D18" s="29">
        <f>Table10[[#This Row],[AUX TRANSPORTE]]+Table10[[#This Row],[SMLV]]</f>
        <v>420</v>
      </c>
      <c r="E18" s="35" t="s">
        <v>41</v>
      </c>
      <c r="F18" s="35" t="s">
        <v>36</v>
      </c>
      <c r="I18" s="22"/>
    </row>
    <row r="19" spans="1:9" x14ac:dyDescent="0.35">
      <c r="A19" s="28">
        <v>1967</v>
      </c>
      <c r="B19" s="29">
        <v>420</v>
      </c>
      <c r="C19" s="29">
        <v>0</v>
      </c>
      <c r="D19" s="29">
        <f>Table10[[#This Row],[AUX TRANSPORTE]]+Table10[[#This Row],[SMLV]]</f>
        <v>420</v>
      </c>
      <c r="E19" s="35" t="s">
        <v>41</v>
      </c>
      <c r="F19" s="35" t="s">
        <v>36</v>
      </c>
      <c r="I19" s="22"/>
    </row>
    <row r="20" spans="1:9" x14ac:dyDescent="0.35">
      <c r="A20" s="28">
        <v>1968</v>
      </c>
      <c r="B20" s="29">
        <v>420</v>
      </c>
      <c r="C20" s="29">
        <v>0</v>
      </c>
      <c r="D20" s="29">
        <f>Table10[[#This Row],[AUX TRANSPORTE]]+Table10[[#This Row],[SMLV]]</f>
        <v>420</v>
      </c>
      <c r="E20" s="35" t="s">
        <v>41</v>
      </c>
      <c r="F20" s="35" t="s">
        <v>36</v>
      </c>
      <c r="I20" s="22"/>
    </row>
    <row r="21" spans="1:9" x14ac:dyDescent="0.35">
      <c r="A21" s="28">
        <v>1969</v>
      </c>
      <c r="B21" s="29">
        <v>519</v>
      </c>
      <c r="C21" s="29">
        <v>0</v>
      </c>
      <c r="D21" s="29">
        <f>Table10[[#This Row],[AUX TRANSPORTE]]+Table10[[#This Row],[SMLV]]</f>
        <v>519</v>
      </c>
      <c r="E21" s="35" t="s">
        <v>42</v>
      </c>
      <c r="F21" s="35" t="s">
        <v>36</v>
      </c>
      <c r="I21" s="22"/>
    </row>
    <row r="22" spans="1:9" x14ac:dyDescent="0.35">
      <c r="A22" s="28">
        <v>1970</v>
      </c>
      <c r="B22" s="29">
        <v>519</v>
      </c>
      <c r="C22" s="29">
        <v>0</v>
      </c>
      <c r="D22" s="29">
        <f>Table10[[#This Row],[AUX TRANSPORTE]]+Table10[[#This Row],[SMLV]]</f>
        <v>519</v>
      </c>
      <c r="E22" s="35" t="s">
        <v>42</v>
      </c>
      <c r="F22" s="35" t="s">
        <v>36</v>
      </c>
      <c r="I22" s="22"/>
    </row>
    <row r="23" spans="1:9" x14ac:dyDescent="0.35">
      <c r="A23" s="28">
        <v>1971</v>
      </c>
      <c r="B23" s="29">
        <v>519</v>
      </c>
      <c r="C23" s="29">
        <v>0</v>
      </c>
      <c r="D23" s="29">
        <f>Table10[[#This Row],[AUX TRANSPORTE]]+Table10[[#This Row],[SMLV]]</f>
        <v>519</v>
      </c>
      <c r="E23" s="35" t="s">
        <v>42</v>
      </c>
      <c r="F23" s="35" t="s">
        <v>36</v>
      </c>
      <c r="I23" s="22"/>
    </row>
    <row r="24" spans="1:9" x14ac:dyDescent="0.35">
      <c r="A24" s="28">
        <v>1972</v>
      </c>
      <c r="B24" s="29">
        <v>660</v>
      </c>
      <c r="C24" s="29">
        <v>0</v>
      </c>
      <c r="D24" s="29">
        <f>Table10[[#This Row],[AUX TRANSPORTE]]+Table10[[#This Row],[SMLV]]</f>
        <v>660</v>
      </c>
      <c r="E24" s="35" t="s">
        <v>43</v>
      </c>
      <c r="F24" s="35" t="s">
        <v>36</v>
      </c>
      <c r="I24" s="22"/>
    </row>
    <row r="25" spans="1:9" x14ac:dyDescent="0.35">
      <c r="A25" s="28">
        <v>1973</v>
      </c>
      <c r="B25" s="29">
        <v>660</v>
      </c>
      <c r="C25" s="29">
        <v>0</v>
      </c>
      <c r="D25" s="29">
        <f>Table10[[#This Row],[AUX TRANSPORTE]]+Table10[[#This Row],[SMLV]]</f>
        <v>660</v>
      </c>
      <c r="E25" s="35" t="s">
        <v>43</v>
      </c>
      <c r="F25" s="35" t="s">
        <v>36</v>
      </c>
      <c r="I25" s="22"/>
    </row>
    <row r="26" spans="1:9" x14ac:dyDescent="0.35">
      <c r="A26" s="28">
        <v>1974</v>
      </c>
      <c r="B26" s="29">
        <v>1200</v>
      </c>
      <c r="C26" s="29">
        <v>0</v>
      </c>
      <c r="D26" s="29">
        <f>Table10[[#This Row],[AUX TRANSPORTE]]+Table10[[#This Row],[SMLV]]</f>
        <v>1200</v>
      </c>
      <c r="E26" s="35" t="s">
        <v>44</v>
      </c>
      <c r="F26" s="35" t="s">
        <v>36</v>
      </c>
      <c r="I26" s="22"/>
    </row>
    <row r="27" spans="1:9" x14ac:dyDescent="0.35">
      <c r="A27" s="28">
        <v>1975</v>
      </c>
      <c r="B27" s="29">
        <v>1200</v>
      </c>
      <c r="C27" s="29">
        <v>0</v>
      </c>
      <c r="D27" s="29">
        <f>Table10[[#This Row],[AUX TRANSPORTE]]+Table10[[#This Row],[SMLV]]</f>
        <v>1200</v>
      </c>
      <c r="E27" s="35" t="s">
        <v>44</v>
      </c>
      <c r="F27" s="35" t="s">
        <v>36</v>
      </c>
      <c r="I27" s="22"/>
    </row>
    <row r="28" spans="1:9" x14ac:dyDescent="0.35">
      <c r="A28" s="28">
        <v>1976</v>
      </c>
      <c r="B28" s="29">
        <v>1560</v>
      </c>
      <c r="C28" s="29">
        <v>0</v>
      </c>
      <c r="D28" s="29">
        <f>Table10[[#This Row],[AUX TRANSPORTE]]+Table10[[#This Row],[SMLV]]</f>
        <v>1560</v>
      </c>
      <c r="E28" s="35" t="s">
        <v>45</v>
      </c>
      <c r="F28" s="35" t="s">
        <v>36</v>
      </c>
      <c r="I28" s="22"/>
    </row>
    <row r="29" spans="1:9" x14ac:dyDescent="0.35">
      <c r="A29" s="28">
        <v>1977</v>
      </c>
      <c r="B29" s="29">
        <v>2340</v>
      </c>
      <c r="C29" s="29">
        <v>0</v>
      </c>
      <c r="D29" s="29">
        <f>Table10[[#This Row],[AUX TRANSPORTE]]+Table10[[#This Row],[SMLV]]</f>
        <v>2340</v>
      </c>
      <c r="E29" s="35" t="s">
        <v>46</v>
      </c>
      <c r="F29" s="35" t="s">
        <v>36</v>
      </c>
      <c r="I29" s="22"/>
    </row>
    <row r="30" spans="1:9" x14ac:dyDescent="0.35">
      <c r="A30" s="30">
        <v>1978</v>
      </c>
      <c r="B30" s="31">
        <v>2580</v>
      </c>
      <c r="C30" s="31">
        <v>0</v>
      </c>
      <c r="D30" s="31">
        <f>Table10[[#This Row],[AUX TRANSPORTE]]+Table10[[#This Row],[SMLV]]</f>
        <v>2580</v>
      </c>
      <c r="E30" s="30" t="s">
        <v>46</v>
      </c>
      <c r="F30" s="30" t="s">
        <v>36</v>
      </c>
    </row>
    <row r="31" spans="1:9" x14ac:dyDescent="0.35">
      <c r="A31" s="30">
        <v>1979</v>
      </c>
      <c r="B31" s="31">
        <v>3450</v>
      </c>
      <c r="C31" s="31">
        <v>0</v>
      </c>
      <c r="D31" s="31">
        <f>Table10[[#This Row],[AUX TRANSPORTE]]+Table10[[#This Row],[SMLV]]</f>
        <v>3450</v>
      </c>
      <c r="E31" s="30" t="s">
        <v>47</v>
      </c>
      <c r="F31" s="30" t="s">
        <v>36</v>
      </c>
    </row>
    <row r="32" spans="1:9" x14ac:dyDescent="0.35">
      <c r="A32" s="30">
        <v>1980</v>
      </c>
      <c r="B32" s="31">
        <v>4500</v>
      </c>
      <c r="C32" s="31">
        <v>0</v>
      </c>
      <c r="D32" s="31">
        <f>Table10[[#This Row],[AUX TRANSPORTE]]+Table10[[#This Row],[SMLV]]</f>
        <v>4500</v>
      </c>
      <c r="E32" s="30" t="s">
        <v>48</v>
      </c>
      <c r="F32" s="30" t="s">
        <v>36</v>
      </c>
    </row>
    <row r="33" spans="1:6" x14ac:dyDescent="0.35">
      <c r="A33" s="30">
        <v>1981</v>
      </c>
      <c r="B33" s="31">
        <v>5700</v>
      </c>
      <c r="C33" s="31">
        <v>525</v>
      </c>
      <c r="D33" s="31">
        <f>Table10[[#This Row],[AUX TRANSPORTE]]+Table10[[#This Row],[SMLV]]</f>
        <v>6225</v>
      </c>
      <c r="E33" s="30" t="s">
        <v>49</v>
      </c>
      <c r="F33" s="30" t="s">
        <v>85</v>
      </c>
    </row>
    <row r="34" spans="1:6" x14ac:dyDescent="0.35">
      <c r="A34" s="30">
        <v>1982</v>
      </c>
      <c r="B34" s="31">
        <v>7410</v>
      </c>
      <c r="C34" s="31">
        <v>810</v>
      </c>
      <c r="D34" s="31">
        <f>Table10[[#This Row],[AUX TRANSPORTE]]+Table10[[#This Row],[SMLV]]</f>
        <v>8220</v>
      </c>
      <c r="E34" s="30" t="s">
        <v>50</v>
      </c>
      <c r="F34" s="30" t="s">
        <v>86</v>
      </c>
    </row>
    <row r="35" spans="1:6" x14ac:dyDescent="0.35">
      <c r="A35" s="30">
        <v>1983</v>
      </c>
      <c r="B35" s="31">
        <v>9261</v>
      </c>
      <c r="C35" s="31">
        <v>1102</v>
      </c>
      <c r="D35" s="31">
        <f>Table10[[#This Row],[AUX TRANSPORTE]]+Table10[[#This Row],[SMLV]]</f>
        <v>10363</v>
      </c>
      <c r="E35" s="30" t="s">
        <v>51</v>
      </c>
      <c r="F35" s="30" t="s">
        <v>87</v>
      </c>
    </row>
    <row r="36" spans="1:6" x14ac:dyDescent="0.35">
      <c r="A36" s="30">
        <v>1984</v>
      </c>
      <c r="B36" s="31">
        <v>11298</v>
      </c>
      <c r="C36" s="31">
        <v>1350</v>
      </c>
      <c r="D36" s="31">
        <f>Table10[[#This Row],[AUX TRANSPORTE]]+Table10[[#This Row],[SMLV]]</f>
        <v>12648</v>
      </c>
      <c r="E36" s="30" t="s">
        <v>52</v>
      </c>
      <c r="F36" s="30" t="s">
        <v>88</v>
      </c>
    </row>
    <row r="37" spans="1:6" x14ac:dyDescent="0.35">
      <c r="A37" s="30">
        <v>1985</v>
      </c>
      <c r="B37" s="31">
        <v>13557</v>
      </c>
      <c r="C37" s="31">
        <v>1650</v>
      </c>
      <c r="D37" s="31">
        <f>Table10[[#This Row],[AUX TRANSPORTE]]+Table10[[#This Row],[SMLV]]</f>
        <v>15207</v>
      </c>
      <c r="E37" s="30" t="s">
        <v>53</v>
      </c>
      <c r="F37" s="30" t="s">
        <v>89</v>
      </c>
    </row>
    <row r="38" spans="1:6" x14ac:dyDescent="0.35">
      <c r="A38" s="30">
        <v>1986</v>
      </c>
      <c r="B38" s="31">
        <v>16811</v>
      </c>
      <c r="C38" s="31">
        <v>1650</v>
      </c>
      <c r="D38" s="31">
        <f>Table10[[#This Row],[AUX TRANSPORTE]]+Table10[[#This Row],[SMLV]]</f>
        <v>18461</v>
      </c>
      <c r="E38" s="30" t="s">
        <v>54</v>
      </c>
      <c r="F38" s="30" t="s">
        <v>90</v>
      </c>
    </row>
    <row r="39" spans="1:6" x14ac:dyDescent="0.35">
      <c r="A39" s="30">
        <v>1987</v>
      </c>
      <c r="B39" s="31">
        <v>20510</v>
      </c>
      <c r="C39" s="31">
        <v>2000</v>
      </c>
      <c r="D39" s="31">
        <f>Table10[[#This Row],[AUX TRANSPORTE]]+Table10[[#This Row],[SMLV]]</f>
        <v>22510</v>
      </c>
      <c r="E39" s="30" t="s">
        <v>55</v>
      </c>
      <c r="F39" s="30" t="s">
        <v>91</v>
      </c>
    </row>
    <row r="40" spans="1:6" x14ac:dyDescent="0.35">
      <c r="A40" s="30">
        <v>1988</v>
      </c>
      <c r="B40" s="31">
        <v>25637</v>
      </c>
      <c r="C40" s="31">
        <v>2450</v>
      </c>
      <c r="D40" s="31">
        <f>Table10[[#This Row],[AUX TRANSPORTE]]+Table10[[#This Row],[SMLV]]</f>
        <v>28087</v>
      </c>
      <c r="E40" s="30" t="s">
        <v>56</v>
      </c>
      <c r="F40" s="30" t="s">
        <v>92</v>
      </c>
    </row>
    <row r="41" spans="1:6" x14ac:dyDescent="0.35">
      <c r="A41" s="30">
        <v>1989</v>
      </c>
      <c r="B41" s="31">
        <v>32556</v>
      </c>
      <c r="C41" s="31">
        <v>3063</v>
      </c>
      <c r="D41" s="31">
        <f>Table10[[#This Row],[AUX TRANSPORTE]]+Table10[[#This Row],[SMLV]]</f>
        <v>35619</v>
      </c>
      <c r="E41" s="30" t="s">
        <v>57</v>
      </c>
      <c r="F41" s="30" t="s">
        <v>93</v>
      </c>
    </row>
    <row r="42" spans="1:6" x14ac:dyDescent="0.35">
      <c r="A42" s="30">
        <v>1990</v>
      </c>
      <c r="B42" s="31">
        <v>41025</v>
      </c>
      <c r="C42" s="31">
        <v>3798</v>
      </c>
      <c r="D42" s="31">
        <f>Table10[[#This Row],[AUX TRANSPORTE]]+Table10[[#This Row],[SMLV]]</f>
        <v>44823</v>
      </c>
      <c r="E42" s="30" t="s">
        <v>58</v>
      </c>
      <c r="F42" s="30" t="s">
        <v>94</v>
      </c>
    </row>
    <row r="43" spans="1:6" x14ac:dyDescent="0.35">
      <c r="A43" s="30">
        <v>1991</v>
      </c>
      <c r="B43" s="31">
        <v>51720</v>
      </c>
      <c r="C43" s="31">
        <v>4787</v>
      </c>
      <c r="D43" s="31">
        <f>Table10[[#This Row],[AUX TRANSPORTE]]+Table10[[#This Row],[SMLV]]</f>
        <v>56507</v>
      </c>
      <c r="E43" s="30" t="s">
        <v>59</v>
      </c>
      <c r="F43" s="30" t="s">
        <v>95</v>
      </c>
    </row>
    <row r="44" spans="1:6" x14ac:dyDescent="0.35">
      <c r="A44" s="30">
        <v>1992</v>
      </c>
      <c r="B44" s="31">
        <v>65190</v>
      </c>
      <c r="C44" s="31">
        <v>6033</v>
      </c>
      <c r="D44" s="31">
        <f>Table10[[#This Row],[AUX TRANSPORTE]]+Table10[[#This Row],[SMLV]]</f>
        <v>71223</v>
      </c>
      <c r="E44" s="30" t="s">
        <v>60</v>
      </c>
      <c r="F44" s="30" t="s">
        <v>96</v>
      </c>
    </row>
    <row r="45" spans="1:6" x14ac:dyDescent="0.35">
      <c r="A45" s="30">
        <v>1993</v>
      </c>
      <c r="B45" s="31">
        <v>81510</v>
      </c>
      <c r="C45" s="31">
        <v>7542</v>
      </c>
      <c r="D45" s="31">
        <f>Table10[[#This Row],[AUX TRANSPORTE]]+Table10[[#This Row],[SMLV]]</f>
        <v>89052</v>
      </c>
      <c r="E45" s="30" t="s">
        <v>61</v>
      </c>
      <c r="F45" s="30" t="s">
        <v>97</v>
      </c>
    </row>
    <row r="46" spans="1:6" x14ac:dyDescent="0.35">
      <c r="A46" s="30">
        <v>1994</v>
      </c>
      <c r="B46" s="31">
        <v>98700</v>
      </c>
      <c r="C46" s="31">
        <v>8705</v>
      </c>
      <c r="D46" s="31">
        <f>Table10[[#This Row],[AUX TRANSPORTE]]+Table10[[#This Row],[SMLV]]</f>
        <v>107405</v>
      </c>
      <c r="E46" s="30" t="s">
        <v>62</v>
      </c>
      <c r="F46" s="30" t="s">
        <v>62</v>
      </c>
    </row>
    <row r="47" spans="1:6" x14ac:dyDescent="0.35">
      <c r="A47" s="30">
        <v>1995</v>
      </c>
      <c r="B47" s="31">
        <v>118933</v>
      </c>
      <c r="C47" s="31">
        <v>10815</v>
      </c>
      <c r="D47" s="31">
        <f>Table10[[#This Row],[AUX TRANSPORTE]]+Table10[[#This Row],[SMLV]]</f>
        <v>129748</v>
      </c>
      <c r="E47" s="30" t="s">
        <v>63</v>
      </c>
      <c r="F47" s="30" t="s">
        <v>98</v>
      </c>
    </row>
    <row r="48" spans="1:6" x14ac:dyDescent="0.35">
      <c r="A48" s="30">
        <v>1996</v>
      </c>
      <c r="B48" s="31">
        <v>142125</v>
      </c>
      <c r="C48" s="31">
        <v>13567</v>
      </c>
      <c r="D48" s="31">
        <f>Table10[[#This Row],[AUX TRANSPORTE]]+Table10[[#This Row],[SMLV]]</f>
        <v>155692</v>
      </c>
      <c r="E48" s="30" t="s">
        <v>64</v>
      </c>
      <c r="F48" s="30" t="s">
        <v>64</v>
      </c>
    </row>
    <row r="49" spans="1:6" x14ac:dyDescent="0.35">
      <c r="A49" s="30">
        <v>1997</v>
      </c>
      <c r="B49" s="31">
        <v>172005</v>
      </c>
      <c r="C49" s="31">
        <v>17250</v>
      </c>
      <c r="D49" s="31">
        <f>Table10[[#This Row],[AUX TRANSPORTE]]+Table10[[#This Row],[SMLV]]</f>
        <v>189255</v>
      </c>
      <c r="E49" s="30" t="s">
        <v>65</v>
      </c>
      <c r="F49" s="30" t="s">
        <v>99</v>
      </c>
    </row>
    <row r="50" spans="1:6" x14ac:dyDescent="0.35">
      <c r="A50" s="30">
        <v>1998</v>
      </c>
      <c r="B50" s="31">
        <v>203826</v>
      </c>
      <c r="C50" s="31">
        <v>20700</v>
      </c>
      <c r="D50" s="31">
        <f>Table10[[#This Row],[AUX TRANSPORTE]]+Table10[[#This Row],[SMLV]]</f>
        <v>224526</v>
      </c>
      <c r="E50" s="30" t="s">
        <v>66</v>
      </c>
      <c r="F50" s="30" t="s">
        <v>100</v>
      </c>
    </row>
    <row r="51" spans="1:6" x14ac:dyDescent="0.35">
      <c r="A51" s="30">
        <v>1999</v>
      </c>
      <c r="B51" s="31">
        <v>236460</v>
      </c>
      <c r="C51" s="31">
        <v>24012</v>
      </c>
      <c r="D51" s="31">
        <f>Table10[[#This Row],[AUX TRANSPORTE]]+Table10[[#This Row],[SMLV]]</f>
        <v>260472</v>
      </c>
      <c r="E51" s="30" t="s">
        <v>67</v>
      </c>
      <c r="F51" s="30" t="s">
        <v>101</v>
      </c>
    </row>
    <row r="52" spans="1:6" x14ac:dyDescent="0.35">
      <c r="A52" s="30">
        <v>2000</v>
      </c>
      <c r="B52" s="31">
        <v>260100</v>
      </c>
      <c r="C52" s="31">
        <v>26413</v>
      </c>
      <c r="D52" s="31">
        <f>Table10[[#This Row],[AUX TRANSPORTE]]+Table10[[#This Row],[SMLV]]</f>
        <v>286513</v>
      </c>
      <c r="E52" s="30" t="s">
        <v>68</v>
      </c>
      <c r="F52" s="30" t="s">
        <v>102</v>
      </c>
    </row>
    <row r="53" spans="1:6" x14ac:dyDescent="0.35">
      <c r="A53" s="30">
        <v>2001</v>
      </c>
      <c r="B53" s="31">
        <v>286000</v>
      </c>
      <c r="C53" s="31">
        <v>30000</v>
      </c>
      <c r="D53" s="31">
        <f>Table10[[#This Row],[AUX TRANSPORTE]]+Table10[[#This Row],[SMLV]]</f>
        <v>316000</v>
      </c>
      <c r="E53" s="30" t="s">
        <v>69</v>
      </c>
      <c r="F53" s="30" t="s">
        <v>103</v>
      </c>
    </row>
    <row r="54" spans="1:6" x14ac:dyDescent="0.35">
      <c r="A54" s="30">
        <v>2002</v>
      </c>
      <c r="B54" s="31">
        <v>309000</v>
      </c>
      <c r="C54" s="31">
        <v>34000</v>
      </c>
      <c r="D54" s="31">
        <f>Table10[[#This Row],[AUX TRANSPORTE]]+Table10[[#This Row],[SMLV]]</f>
        <v>343000</v>
      </c>
      <c r="E54" s="30" t="s">
        <v>70</v>
      </c>
      <c r="F54" s="30" t="s">
        <v>104</v>
      </c>
    </row>
    <row r="55" spans="1:6" x14ac:dyDescent="0.35">
      <c r="A55" s="30">
        <v>2003</v>
      </c>
      <c r="B55" s="31">
        <v>332000</v>
      </c>
      <c r="C55" s="31">
        <v>37500</v>
      </c>
      <c r="D55" s="31">
        <f>Table10[[#This Row],[AUX TRANSPORTE]]+Table10[[#This Row],[SMLV]]</f>
        <v>369500</v>
      </c>
      <c r="E55" s="30" t="s">
        <v>71</v>
      </c>
      <c r="F55" s="30" t="s">
        <v>105</v>
      </c>
    </row>
    <row r="56" spans="1:6" x14ac:dyDescent="0.35">
      <c r="A56" s="30">
        <v>2004</v>
      </c>
      <c r="B56" s="31">
        <v>358000</v>
      </c>
      <c r="C56" s="31">
        <v>41600</v>
      </c>
      <c r="D56" s="31">
        <f>Table10[[#This Row],[AUX TRANSPORTE]]+Table10[[#This Row],[SMLV]]</f>
        <v>399600</v>
      </c>
      <c r="E56" s="30" t="s">
        <v>72</v>
      </c>
      <c r="F56" s="30" t="s">
        <v>106</v>
      </c>
    </row>
    <row r="57" spans="1:6" x14ac:dyDescent="0.35">
      <c r="A57" s="30">
        <v>2005</v>
      </c>
      <c r="B57" s="31">
        <v>381500</v>
      </c>
      <c r="C57" s="31">
        <v>44500</v>
      </c>
      <c r="D57" s="31">
        <f>Table10[[#This Row],[AUX TRANSPORTE]]+Table10[[#This Row],[SMLV]]</f>
        <v>426000</v>
      </c>
      <c r="E57" s="30" t="s">
        <v>73</v>
      </c>
      <c r="F57" s="30" t="s">
        <v>107</v>
      </c>
    </row>
    <row r="58" spans="1:6" x14ac:dyDescent="0.35">
      <c r="A58" s="30">
        <v>2006</v>
      </c>
      <c r="B58" s="31">
        <v>408000</v>
      </c>
      <c r="C58" s="31">
        <v>47700</v>
      </c>
      <c r="D58" s="31">
        <f>Table10[[#This Row],[AUX TRANSPORTE]]+Table10[[#This Row],[SMLV]]</f>
        <v>455700</v>
      </c>
      <c r="E58" s="30" t="s">
        <v>74</v>
      </c>
      <c r="F58" s="30" t="s">
        <v>108</v>
      </c>
    </row>
    <row r="59" spans="1:6" x14ac:dyDescent="0.35">
      <c r="A59" s="30">
        <v>2007</v>
      </c>
      <c r="B59" s="31">
        <v>433700</v>
      </c>
      <c r="C59" s="31">
        <v>50800</v>
      </c>
      <c r="D59" s="31">
        <f>Table10[[#This Row],[AUX TRANSPORTE]]+Table10[[#This Row],[SMLV]]</f>
        <v>484500</v>
      </c>
      <c r="E59" s="30" t="s">
        <v>75</v>
      </c>
      <c r="F59" s="30" t="s">
        <v>109</v>
      </c>
    </row>
    <row r="60" spans="1:6" x14ac:dyDescent="0.35">
      <c r="A60" s="30">
        <v>2008</v>
      </c>
      <c r="B60" s="31">
        <v>461500</v>
      </c>
      <c r="C60" s="31">
        <v>55000</v>
      </c>
      <c r="D60" s="31">
        <f>Table10[[#This Row],[AUX TRANSPORTE]]+Table10[[#This Row],[SMLV]]</f>
        <v>516500</v>
      </c>
      <c r="E60" s="30" t="s">
        <v>76</v>
      </c>
      <c r="F60" s="30" t="s">
        <v>110</v>
      </c>
    </row>
    <row r="61" spans="1:6" x14ac:dyDescent="0.35">
      <c r="A61" s="30">
        <v>2009</v>
      </c>
      <c r="B61" s="31">
        <v>496900</v>
      </c>
      <c r="C61" s="31">
        <v>59300</v>
      </c>
      <c r="D61" s="31">
        <f>Table10[[#This Row],[AUX TRANSPORTE]]+Table10[[#This Row],[SMLV]]</f>
        <v>556200</v>
      </c>
      <c r="E61" s="30" t="s">
        <v>77</v>
      </c>
      <c r="F61" s="30" t="s">
        <v>111</v>
      </c>
    </row>
    <row r="62" spans="1:6" x14ac:dyDescent="0.35">
      <c r="A62" s="30">
        <v>2010</v>
      </c>
      <c r="B62" s="31">
        <v>515000</v>
      </c>
      <c r="C62" s="31">
        <v>61500</v>
      </c>
      <c r="D62" s="31">
        <f>Table10[[#This Row],[AUX TRANSPORTE]]+Table10[[#This Row],[SMLV]]</f>
        <v>576500</v>
      </c>
      <c r="E62" s="30" t="s">
        <v>78</v>
      </c>
      <c r="F62" s="30" t="s">
        <v>112</v>
      </c>
    </row>
    <row r="63" spans="1:6" x14ac:dyDescent="0.35">
      <c r="A63" s="30">
        <v>2011</v>
      </c>
      <c r="B63" s="31">
        <v>535600</v>
      </c>
      <c r="C63" s="31">
        <v>63600</v>
      </c>
      <c r="D63" s="31">
        <f>Table10[[#This Row],[AUX TRANSPORTE]]+Table10[[#This Row],[SMLV]]</f>
        <v>599200</v>
      </c>
      <c r="E63" s="30" t="s">
        <v>79</v>
      </c>
      <c r="F63" s="30" t="s">
        <v>113</v>
      </c>
    </row>
    <row r="64" spans="1:6" x14ac:dyDescent="0.35">
      <c r="A64" s="30">
        <v>2012</v>
      </c>
      <c r="B64" s="31">
        <v>566700</v>
      </c>
      <c r="C64" s="31">
        <v>67800</v>
      </c>
      <c r="D64" s="31">
        <f>Table10[[#This Row],[AUX TRANSPORTE]]+Table10[[#This Row],[SMLV]]</f>
        <v>634500</v>
      </c>
      <c r="E64" s="30" t="s">
        <v>80</v>
      </c>
      <c r="F64" s="30" t="s">
        <v>114</v>
      </c>
    </row>
    <row r="65" spans="1:6" x14ac:dyDescent="0.35">
      <c r="A65" s="30">
        <v>2013</v>
      </c>
      <c r="B65" s="31">
        <v>589500</v>
      </c>
      <c r="C65" s="31">
        <v>70500</v>
      </c>
      <c r="D65" s="31">
        <f>Table10[[#This Row],[AUX TRANSPORTE]]+Table10[[#This Row],[SMLV]]</f>
        <v>660000</v>
      </c>
      <c r="E65" s="30" t="s">
        <v>81</v>
      </c>
      <c r="F65" s="30" t="s">
        <v>115</v>
      </c>
    </row>
    <row r="66" spans="1:6" x14ac:dyDescent="0.35">
      <c r="A66" s="30">
        <v>2014</v>
      </c>
      <c r="B66" s="31">
        <v>616000</v>
      </c>
      <c r="C66" s="31">
        <v>72000</v>
      </c>
      <c r="D66" s="31">
        <f>Table10[[#This Row],[AUX TRANSPORTE]]+Table10[[#This Row],[SMLV]]</f>
        <v>688000</v>
      </c>
      <c r="E66" s="30" t="s">
        <v>82</v>
      </c>
      <c r="F66" s="30" t="s">
        <v>116</v>
      </c>
    </row>
    <row r="67" spans="1:6" x14ac:dyDescent="0.35">
      <c r="A67" s="30">
        <v>2015</v>
      </c>
      <c r="B67" s="31">
        <v>644350</v>
      </c>
      <c r="C67" s="31">
        <v>74000</v>
      </c>
      <c r="D67" s="31">
        <f>Table10[[#This Row],[AUX TRANSPORTE]]+Table10[[#This Row],[SMLV]]</f>
        <v>718350</v>
      </c>
      <c r="E67" s="30" t="s">
        <v>36</v>
      </c>
      <c r="F67" s="30" t="s">
        <v>117</v>
      </c>
    </row>
    <row r="68" spans="1:6" x14ac:dyDescent="0.35">
      <c r="A68" s="30">
        <v>2016</v>
      </c>
      <c r="B68" s="31">
        <v>689455</v>
      </c>
      <c r="C68" s="31">
        <v>77700</v>
      </c>
      <c r="D68" s="31">
        <f>Table10[[#This Row],[AUX TRANSPORTE]]+Table10[[#This Row],[SMLV]]</f>
        <v>767155</v>
      </c>
      <c r="E68" s="30" t="s">
        <v>36</v>
      </c>
      <c r="F68" s="30" t="s">
        <v>117</v>
      </c>
    </row>
    <row r="69" spans="1:6" x14ac:dyDescent="0.35">
      <c r="A69" s="30">
        <v>2017</v>
      </c>
      <c r="B69" s="31">
        <v>737717</v>
      </c>
      <c r="C69" s="31">
        <v>83140</v>
      </c>
      <c r="D69" s="31">
        <f>Table10[[#This Row],[AUX TRANSPORTE]]+Table10[[#This Row],[SMLV]]</f>
        <v>820857</v>
      </c>
      <c r="E69" s="30" t="s">
        <v>36</v>
      </c>
      <c r="F69" s="30" t="s">
        <v>117</v>
      </c>
    </row>
    <row r="70" spans="1:6" x14ac:dyDescent="0.35">
      <c r="A70" s="30">
        <v>2018</v>
      </c>
      <c r="B70" s="31">
        <v>781242</v>
      </c>
      <c r="C70" s="31">
        <v>88211</v>
      </c>
      <c r="D70" s="31">
        <f>Table10[[#This Row],[AUX TRANSPORTE]]+Table10[[#This Row],[SMLV]]</f>
        <v>869453</v>
      </c>
      <c r="E70" s="30" t="s">
        <v>36</v>
      </c>
      <c r="F70" s="30" t="s">
        <v>117</v>
      </c>
    </row>
    <row r="71" spans="1:6" x14ac:dyDescent="0.35">
      <c r="A71" s="30">
        <v>2019</v>
      </c>
      <c r="B71" s="31">
        <v>828116</v>
      </c>
      <c r="C71" s="31">
        <v>97032</v>
      </c>
      <c r="D71" s="31">
        <f>Table10[[#This Row],[AUX TRANSPORTE]]+Table10[[#This Row],[SMLV]]</f>
        <v>925148</v>
      </c>
      <c r="E71" s="30" t="s">
        <v>36</v>
      </c>
      <c r="F71" s="30" t="s">
        <v>117</v>
      </c>
    </row>
    <row r="72" spans="1:6" x14ac:dyDescent="0.35">
      <c r="A72">
        <v>2020</v>
      </c>
      <c r="B72" s="21">
        <v>877803</v>
      </c>
      <c r="C72" s="21">
        <v>102854</v>
      </c>
      <c r="D72" s="31">
        <f>Table10[[#This Row],[AUX TRANSPORTE]]+Table10[[#This Row],[SMLV]]</f>
        <v>980657</v>
      </c>
      <c r="E72" s="21" t="s">
        <v>123</v>
      </c>
      <c r="F72" s="37"/>
    </row>
    <row r="73" spans="1:6" x14ac:dyDescent="0.35">
      <c r="A73">
        <v>2021</v>
      </c>
      <c r="B73" s="21">
        <v>908526</v>
      </c>
      <c r="C73" s="21">
        <v>106454</v>
      </c>
      <c r="D73" s="31">
        <f>Table10[[#This Row],[AUX TRANSPORTE]]+Table10[[#This Row],[SMLV]]</f>
        <v>1014980</v>
      </c>
      <c r="E73" s="21" t="s">
        <v>122</v>
      </c>
      <c r="F73" s="37"/>
    </row>
    <row r="74" spans="1:6" x14ac:dyDescent="0.35">
      <c r="A74">
        <v>2022</v>
      </c>
      <c r="B74" s="21">
        <v>1000000</v>
      </c>
      <c r="C74" s="21">
        <v>117172</v>
      </c>
      <c r="D74" s="31">
        <f>Table10[[#This Row],[AUX TRANSPORTE]]+Table10[[#This Row],[SMLV]]</f>
        <v>1117172</v>
      </c>
      <c r="E74" s="21" t="s">
        <v>121</v>
      </c>
      <c r="F74" s="37"/>
    </row>
    <row r="75" spans="1:6" x14ac:dyDescent="0.35">
      <c r="A75">
        <v>2023</v>
      </c>
      <c r="B75" s="21">
        <v>1160000</v>
      </c>
      <c r="C75" s="21">
        <v>140606</v>
      </c>
      <c r="D75" s="31">
        <f>Table10[[#This Row],[AUX TRANSPORTE]]+Table10[[#This Row],[SMLV]]</f>
        <v>1300606</v>
      </c>
      <c r="E75" s="21" t="s">
        <v>120</v>
      </c>
      <c r="F75" s="37"/>
    </row>
    <row r="76" spans="1:6" x14ac:dyDescent="0.35">
      <c r="A76">
        <v>2024</v>
      </c>
      <c r="B76" s="21">
        <v>1300000</v>
      </c>
      <c r="C76" s="21">
        <v>162000</v>
      </c>
      <c r="D76" s="31">
        <f>Table10[[#This Row],[AUX TRANSPORTE]]+Table10[[#This Row],[SMLV]]</f>
        <v>1462000</v>
      </c>
      <c r="E76" s="21" t="s">
        <v>119</v>
      </c>
      <c r="F76" s="37"/>
    </row>
    <row r="77" spans="1:6" x14ac:dyDescent="0.35">
      <c r="A77">
        <v>2025</v>
      </c>
      <c r="B77" s="21">
        <v>1423500</v>
      </c>
      <c r="C77" s="21">
        <v>200000</v>
      </c>
      <c r="D77" s="31">
        <f>Table10[[#This Row],[AUX TRANSPORTE]]+Table10[[#This Row],[SMLV]]</f>
        <v>1623500</v>
      </c>
      <c r="E77" s="21" t="s">
        <v>118</v>
      </c>
      <c r="F77" s="37"/>
    </row>
    <row r="78" spans="1:6" x14ac:dyDescent="0.35">
      <c r="A78" s="30">
        <v>2026</v>
      </c>
      <c r="B78" s="31">
        <v>1750905</v>
      </c>
      <c r="C78" s="31">
        <v>249095</v>
      </c>
      <c r="D78" s="31">
        <f>Table10[[#This Row],[AUX TRANSPORTE]]+Table10[[#This Row],[SMLV]]</f>
        <v>2000000</v>
      </c>
      <c r="E78" s="30" t="s">
        <v>124</v>
      </c>
      <c r="F78" s="30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39"/>
  <sheetViews>
    <sheetView tabSelected="1" topLeftCell="G1" zoomScaleNormal="100" zoomScaleSheetLayoutView="85" workbookViewId="0">
      <selection activeCell="O11" sqref="O11:O76"/>
    </sheetView>
  </sheetViews>
  <sheetFormatPr baseColWidth="10" defaultColWidth="11.453125" defaultRowHeight="13" x14ac:dyDescent="0.3"/>
  <cols>
    <col min="1" max="1" width="47.1796875" style="71" bestFit="1" customWidth="1"/>
    <col min="2" max="2" width="36" style="72" bestFit="1" customWidth="1"/>
    <col min="3" max="4" width="15.453125" style="72" customWidth="1"/>
    <col min="5" max="5" width="11.54296875" style="64" bestFit="1" customWidth="1"/>
    <col min="6" max="6" width="43.1796875" style="64" bestFit="1" customWidth="1"/>
    <col min="7" max="7" width="33.54296875" style="73" customWidth="1"/>
    <col min="8" max="8" width="16.1796875" style="63" customWidth="1"/>
    <col min="9" max="9" width="16.1796875" style="77" bestFit="1" customWidth="1"/>
    <col min="10" max="12" width="16.1796875" style="77" customWidth="1"/>
    <col min="13" max="13" width="18.1796875" style="63" bestFit="1" customWidth="1"/>
    <col min="14" max="14" width="15.7265625" style="63" bestFit="1" customWidth="1"/>
    <col min="15" max="15" width="19.81640625" style="48" bestFit="1" customWidth="1"/>
    <col min="16" max="16" width="20.81640625" style="48" bestFit="1" customWidth="1"/>
    <col min="17" max="17" width="15.453125" style="48" hidden="1" customWidth="1"/>
    <col min="18" max="18" width="18.1796875" style="48" hidden="1" customWidth="1"/>
    <col min="19" max="16384" width="11.453125" style="48"/>
  </cols>
  <sheetData>
    <row r="1" spans="1:16" ht="13.5" thickBot="1" x14ac:dyDescent="0.35">
      <c r="A1" s="49" t="s">
        <v>27</v>
      </c>
      <c r="B1" s="50"/>
      <c r="C1" s="51"/>
      <c r="D1" s="51"/>
      <c r="E1" s="52"/>
      <c r="F1" s="130" t="s">
        <v>133</v>
      </c>
      <c r="G1" s="130"/>
      <c r="H1" s="130"/>
      <c r="I1" s="74"/>
      <c r="J1" s="74"/>
      <c r="K1" s="74"/>
      <c r="L1" s="74"/>
      <c r="M1" s="53"/>
      <c r="N1" s="53"/>
      <c r="O1" s="53"/>
      <c r="P1" s="53"/>
    </row>
    <row r="2" spans="1:16" ht="34.5" customHeight="1" x14ac:dyDescent="0.3">
      <c r="A2" s="54" t="s">
        <v>21</v>
      </c>
      <c r="B2" s="55"/>
      <c r="C2" s="51"/>
      <c r="D2" s="51"/>
      <c r="E2" s="52"/>
      <c r="F2" s="74" t="s">
        <v>129</v>
      </c>
      <c r="G2" s="74"/>
      <c r="H2" s="90">
        <f>(SUMPRODUCT(O11:O1000,I11:I1000)/SUM(I11:I1000))*(7/30)</f>
        <v>199739.74155010105</v>
      </c>
      <c r="I2" s="96"/>
      <c r="M2" s="53"/>
      <c r="N2" s="53"/>
      <c r="O2" s="53"/>
      <c r="P2" s="53"/>
    </row>
    <row r="3" spans="1:16" ht="18.75" customHeight="1" x14ac:dyDescent="0.3">
      <c r="A3" s="54" t="s">
        <v>28</v>
      </c>
      <c r="B3" s="56"/>
      <c r="C3" s="57"/>
      <c r="D3" s="57"/>
      <c r="E3" s="52"/>
      <c r="F3" s="74" t="s">
        <v>130</v>
      </c>
      <c r="G3" s="74"/>
      <c r="H3" s="91">
        <f>SUM(H11:H1000)</f>
        <v>267.99999999999989</v>
      </c>
      <c r="M3" s="53"/>
      <c r="N3" s="53"/>
      <c r="O3" s="53"/>
      <c r="P3" s="53"/>
    </row>
    <row r="4" spans="1:16" ht="18.75" customHeight="1" x14ac:dyDescent="0.3">
      <c r="A4" s="87" t="s">
        <v>128</v>
      </c>
      <c r="B4" s="88" t="s">
        <v>10</v>
      </c>
      <c r="C4" s="57"/>
      <c r="D4" s="57"/>
      <c r="E4" s="52"/>
      <c r="F4" s="77" t="s">
        <v>131</v>
      </c>
      <c r="G4" s="77"/>
      <c r="H4" s="92">
        <f>SUMPRODUCT(I11:I1000,J11:J1000)/SUM(I11:I1000)</f>
        <v>8.353411513859281E-2</v>
      </c>
      <c r="M4" s="53"/>
      <c r="N4" s="53"/>
      <c r="O4" s="53"/>
      <c r="P4" s="53"/>
    </row>
    <row r="5" spans="1:16" ht="18.75" customHeight="1" thickBot="1" x14ac:dyDescent="0.35">
      <c r="A5" s="60" t="s">
        <v>20</v>
      </c>
      <c r="B5" s="89">
        <v>2023</v>
      </c>
      <c r="C5" s="57"/>
      <c r="D5" s="57"/>
      <c r="E5" s="52"/>
      <c r="F5" s="93" t="s">
        <v>132</v>
      </c>
      <c r="G5" s="94"/>
      <c r="H5" s="95">
        <f>H4*H3*H2</f>
        <v>4471602.1283309059</v>
      </c>
      <c r="M5" s="53"/>
      <c r="N5" s="53"/>
      <c r="O5" s="53"/>
      <c r="P5" s="53"/>
    </row>
    <row r="6" spans="1:16" ht="18.75" customHeight="1" x14ac:dyDescent="0.3">
      <c r="C6" s="57"/>
      <c r="D6" s="57"/>
      <c r="E6" s="52"/>
      <c r="I6" s="74"/>
      <c r="M6" s="53"/>
      <c r="N6" s="53"/>
      <c r="O6" s="53"/>
      <c r="P6" s="53"/>
    </row>
    <row r="7" spans="1:16" ht="18.75" customHeight="1" x14ac:dyDescent="0.3">
      <c r="C7" s="57"/>
      <c r="D7" s="57"/>
      <c r="E7" s="52"/>
      <c r="F7" s="58"/>
      <c r="G7" s="58"/>
      <c r="H7" s="59"/>
      <c r="I7" s="74"/>
      <c r="M7" s="53"/>
      <c r="N7" s="53"/>
      <c r="O7" s="53"/>
      <c r="P7" s="53"/>
    </row>
    <row r="8" spans="1:16" ht="19.5" customHeight="1" x14ac:dyDescent="0.3">
      <c r="C8" s="61"/>
      <c r="D8" s="61"/>
      <c r="E8" s="52"/>
      <c r="I8" s="75"/>
      <c r="M8" s="53"/>
      <c r="N8" s="53"/>
      <c r="O8" s="53"/>
      <c r="P8" s="53"/>
    </row>
    <row r="9" spans="1:16" ht="6" customHeight="1" x14ac:dyDescent="0.3">
      <c r="A9" s="53"/>
      <c r="B9" s="53"/>
      <c r="C9" s="53"/>
      <c r="D9" s="53"/>
      <c r="E9" s="52"/>
      <c r="F9" s="52"/>
      <c r="G9" s="62"/>
      <c r="H9" s="53"/>
      <c r="I9" s="74"/>
      <c r="J9" s="74"/>
      <c r="K9" s="74"/>
      <c r="L9" s="74"/>
      <c r="M9" s="53"/>
      <c r="N9" s="53"/>
      <c r="O9" s="53"/>
      <c r="P9" s="53"/>
    </row>
    <row r="10" spans="1:16" s="47" customFormat="1" ht="26" x14ac:dyDescent="0.35">
      <c r="A10" s="45" t="s">
        <v>29</v>
      </c>
      <c r="B10" s="45" t="s">
        <v>30</v>
      </c>
      <c r="C10" s="46" t="s">
        <v>22</v>
      </c>
      <c r="D10" s="46" t="s">
        <v>0</v>
      </c>
      <c r="E10" s="46" t="s">
        <v>31</v>
      </c>
      <c r="F10" s="45" t="s">
        <v>32</v>
      </c>
      <c r="G10" s="45" t="s">
        <v>127</v>
      </c>
      <c r="H10" s="45" t="s">
        <v>33</v>
      </c>
      <c r="I10" s="45" t="s">
        <v>34</v>
      </c>
      <c r="J10" s="45" t="s">
        <v>35</v>
      </c>
      <c r="K10" s="45" t="s">
        <v>19</v>
      </c>
      <c r="L10" s="45" t="s">
        <v>134</v>
      </c>
      <c r="M10" s="45" t="s">
        <v>18</v>
      </c>
      <c r="N10" s="45" t="s">
        <v>135</v>
      </c>
      <c r="O10" s="45" t="s">
        <v>136</v>
      </c>
    </row>
    <row r="11" spans="1:16" x14ac:dyDescent="0.3">
      <c r="A11" s="78"/>
      <c r="B11" s="79"/>
      <c r="C11" s="80" t="str">
        <f t="shared" ref="C11:C42" si="0">IF(MONTH(E11)=MONTH(F11), PROPER(TEXT(E11, "mmmm")), "Rev")</f>
        <v>Febrero</v>
      </c>
      <c r="D11" s="80">
        <f>IF(YEAR(E11)=YEAR(F11), YEAR(E11), "Rev")</f>
        <v>1990</v>
      </c>
      <c r="E11" s="97">
        <v>32911</v>
      </c>
      <c r="F11" s="97">
        <v>32932</v>
      </c>
      <c r="G11" s="81">
        <v>47370</v>
      </c>
      <c r="H11" s="98">
        <f>I11/7</f>
        <v>3.1428571428571428</v>
      </c>
      <c r="I11" s="128">
        <f>IF(AND(DAY(E11)=1, OR(F11=EOMONTH(F11,0), AND(MONTH(F11)=2, DAY(F11)&gt;=28))), 30, F11 - E11 + 1)</f>
        <v>22</v>
      </c>
      <c r="J11" s="129" cm="1">
        <f t="array" ref="J11">INDEX(tc!$C$4:$C$15, MATCH(1, INDEX((tc!$A$4:$A$15&lt;=E11)*(tc!$B$4:$B$15&gt;=E11), 0), 0))</f>
        <v>6.5000000000000002E-2</v>
      </c>
      <c r="K11" s="82" t="str">
        <f t="shared" ref="K11:K42" si="1">CONCATENATE($B$4," ",$B$5)</f>
        <v>Diciembre 2023</v>
      </c>
      <c r="L11" s="83">
        <f>VLOOKUP(K11,ipc!$C$2:$D$1048576,2,0)</f>
        <v>137.71610999999999</v>
      </c>
      <c r="M11" s="82" t="str">
        <f t="shared" ref="M11:M42" si="2">C11&amp;" "&amp;D11</f>
        <v>Febrero 1990</v>
      </c>
      <c r="N11" s="83">
        <f>VLOOKUP(M11,ipc!$C$2:$D$1048576,2,0)</f>
        <v>6.18991218102878</v>
      </c>
      <c r="O11" s="84">
        <f t="shared" ref="O11:O42" si="3">G11*(L11/N11)</f>
        <v>1053910.2882095748</v>
      </c>
    </row>
    <row r="12" spans="1:16" x14ac:dyDescent="0.3">
      <c r="A12" s="78"/>
      <c r="B12" s="79"/>
      <c r="C12" s="80" t="str">
        <f t="shared" si="0"/>
        <v>Marzo</v>
      </c>
      <c r="D12" s="80">
        <f t="shared" ref="D12:D20" si="4">IF(YEAR(E12)=YEAR(F12), YEAR(E12), "Rev")</f>
        <v>1990</v>
      </c>
      <c r="E12" s="97">
        <v>32933</v>
      </c>
      <c r="F12" s="97">
        <v>32963</v>
      </c>
      <c r="G12" s="81">
        <v>47370</v>
      </c>
      <c r="H12" s="98">
        <f t="shared" ref="H12:H20" si="5">I12/7</f>
        <v>4.2857142857142856</v>
      </c>
      <c r="I12" s="128">
        <f t="shared" ref="I12:I74" si="6">IF(AND(DAY(E12)=1, OR(F12=EOMONTH(F12,0), AND(MONTH(F12)=2, DAY(F12)&gt;=28))), 30, F12 - E12 + 1)</f>
        <v>30</v>
      </c>
      <c r="J12" s="129" cm="1">
        <f t="array" ref="J12">INDEX(tc!$C$4:$C$15, MATCH(1, INDEX((tc!$A$4:$A$15&lt;=E12)*(tc!$B$4:$B$15&gt;=E12), 0), 0))</f>
        <v>6.5000000000000002E-2</v>
      </c>
      <c r="K12" s="82" t="str">
        <f t="shared" si="1"/>
        <v>Diciembre 2023</v>
      </c>
      <c r="L12" s="83">
        <f>VLOOKUP(K12,ipc!$C$2:$D$1048576,2,0)</f>
        <v>137.71610999999999</v>
      </c>
      <c r="M12" s="82" t="str">
        <f t="shared" si="2"/>
        <v>Marzo 1990</v>
      </c>
      <c r="N12" s="83">
        <f>VLOOKUP(M12,ipc!$C$2:$D$1048576,2,0)</f>
        <v>6.3693878592890103</v>
      </c>
      <c r="O12" s="84">
        <f t="shared" si="3"/>
        <v>1024213.3584605106</v>
      </c>
    </row>
    <row r="13" spans="1:16" x14ac:dyDescent="0.3">
      <c r="A13" s="78"/>
      <c r="B13" s="79"/>
      <c r="C13" s="80" t="str">
        <f t="shared" si="0"/>
        <v>Abril</v>
      </c>
      <c r="D13" s="80">
        <f t="shared" si="4"/>
        <v>1990</v>
      </c>
      <c r="E13" s="97">
        <v>32964</v>
      </c>
      <c r="F13" s="97">
        <v>32993</v>
      </c>
      <c r="G13" s="81">
        <v>47370</v>
      </c>
      <c r="H13" s="98">
        <f t="shared" si="5"/>
        <v>4.2857142857142856</v>
      </c>
      <c r="I13" s="128">
        <f t="shared" si="6"/>
        <v>30</v>
      </c>
      <c r="J13" s="129" cm="1">
        <f t="array" ref="J13">INDEX(tc!$C$4:$C$15, MATCH(1, INDEX((tc!$A$4:$A$15&lt;=E13)*(tc!$B$4:$B$15&gt;=E13), 0), 0))</f>
        <v>6.5000000000000002E-2</v>
      </c>
      <c r="K13" s="82" t="str">
        <f t="shared" si="1"/>
        <v>Diciembre 2023</v>
      </c>
      <c r="L13" s="83">
        <f>VLOOKUP(K13,ipc!$C$2:$D$1048576,2,0)</f>
        <v>137.71610999999999</v>
      </c>
      <c r="M13" s="82" t="str">
        <f t="shared" si="2"/>
        <v>Abril 1990</v>
      </c>
      <c r="N13" s="83">
        <f>VLOOKUP(M13,ipc!$C$2:$D$1048576,2,0)</f>
        <v>6.5485836401165098</v>
      </c>
      <c r="O13" s="84">
        <f t="shared" si="3"/>
        <v>996186.73124009056</v>
      </c>
    </row>
    <row r="14" spans="1:16" x14ac:dyDescent="0.3">
      <c r="A14" s="78"/>
      <c r="B14" s="79"/>
      <c r="C14" s="80" t="str">
        <f t="shared" si="0"/>
        <v>Mayo</v>
      </c>
      <c r="D14" s="80">
        <f t="shared" si="4"/>
        <v>1990</v>
      </c>
      <c r="E14" s="97">
        <v>32994</v>
      </c>
      <c r="F14" s="97">
        <v>33024</v>
      </c>
      <c r="G14" s="81">
        <v>47370</v>
      </c>
      <c r="H14" s="98">
        <f t="shared" si="5"/>
        <v>4.2857142857142856</v>
      </c>
      <c r="I14" s="128">
        <f t="shared" si="6"/>
        <v>30</v>
      </c>
      <c r="J14" s="129" cm="1">
        <f t="array" ref="J14">INDEX(tc!$C$4:$C$15, MATCH(1, INDEX((tc!$A$4:$A$15&lt;=E14)*(tc!$B$4:$B$15&gt;=E14), 0), 0))</f>
        <v>6.5000000000000002E-2</v>
      </c>
      <c r="K14" s="82" t="str">
        <f t="shared" si="1"/>
        <v>Diciembre 2023</v>
      </c>
      <c r="L14" s="83">
        <f>VLOOKUP(K14,ipc!$C$2:$D$1048576,2,0)</f>
        <v>137.71610999999999</v>
      </c>
      <c r="M14" s="82" t="str">
        <f t="shared" si="2"/>
        <v>Mayo 1990</v>
      </c>
      <c r="N14" s="83">
        <f>VLOOKUP(M14,ipc!$C$2:$D$1048576,2,0)</f>
        <v>6.6765672647346497</v>
      </c>
      <c r="O14" s="84">
        <f t="shared" si="3"/>
        <v>977090.75218300382</v>
      </c>
    </row>
    <row r="15" spans="1:16" x14ac:dyDescent="0.3">
      <c r="A15" s="78"/>
      <c r="B15" s="79"/>
      <c r="C15" s="80" t="str">
        <f t="shared" si="0"/>
        <v>Junio</v>
      </c>
      <c r="D15" s="80">
        <f t="shared" si="4"/>
        <v>1990</v>
      </c>
      <c r="E15" s="97">
        <v>33025</v>
      </c>
      <c r="F15" s="97">
        <v>33054</v>
      </c>
      <c r="G15" s="81">
        <v>47370</v>
      </c>
      <c r="H15" s="98">
        <f t="shared" si="5"/>
        <v>4.2857142857142856</v>
      </c>
      <c r="I15" s="128">
        <f t="shared" si="6"/>
        <v>30</v>
      </c>
      <c r="J15" s="129" cm="1">
        <f t="array" ref="J15">INDEX(tc!$C$4:$C$15, MATCH(1, INDEX((tc!$A$4:$A$15&lt;=E15)*(tc!$B$4:$B$15&gt;=E15), 0), 0))</f>
        <v>6.5000000000000002E-2</v>
      </c>
      <c r="K15" s="82" t="str">
        <f t="shared" si="1"/>
        <v>Diciembre 2023</v>
      </c>
      <c r="L15" s="83">
        <f>VLOOKUP(K15,ipc!$C$2:$D$1048576,2,0)</f>
        <v>137.71610999999999</v>
      </c>
      <c r="M15" s="82" t="str">
        <f t="shared" si="2"/>
        <v>Junio 1990</v>
      </c>
      <c r="N15" s="83">
        <f>VLOOKUP(M15,ipc!$C$2:$D$1048576,2,0)</f>
        <v>6.8071265041328504</v>
      </c>
      <c r="O15" s="84">
        <f t="shared" si="3"/>
        <v>958350.35925060022</v>
      </c>
    </row>
    <row r="16" spans="1:16" x14ac:dyDescent="0.3">
      <c r="A16" s="78"/>
      <c r="B16" s="79"/>
      <c r="C16" s="80" t="str">
        <f t="shared" si="0"/>
        <v>Julio</v>
      </c>
      <c r="D16" s="80">
        <f t="shared" si="4"/>
        <v>1990</v>
      </c>
      <c r="E16" s="97">
        <v>33055</v>
      </c>
      <c r="F16" s="97">
        <v>33085</v>
      </c>
      <c r="G16" s="81">
        <v>47370</v>
      </c>
      <c r="H16" s="98">
        <f t="shared" si="5"/>
        <v>4.2857142857142856</v>
      </c>
      <c r="I16" s="128">
        <f t="shared" si="6"/>
        <v>30</v>
      </c>
      <c r="J16" s="129" cm="1">
        <f t="array" ref="J16">INDEX(tc!$C$4:$C$15, MATCH(1, INDEX((tc!$A$4:$A$15&lt;=E16)*(tc!$B$4:$B$15&gt;=E16), 0), 0))</f>
        <v>6.5000000000000002E-2</v>
      </c>
      <c r="K16" s="82" t="str">
        <f t="shared" si="1"/>
        <v>Diciembre 2023</v>
      </c>
      <c r="L16" s="83">
        <f>VLOOKUP(K16,ipc!$C$2:$D$1048576,2,0)</f>
        <v>137.71610999999999</v>
      </c>
      <c r="M16" s="82" t="str">
        <f t="shared" si="2"/>
        <v>Julio 1990</v>
      </c>
      <c r="N16" s="83">
        <f>VLOOKUP(M16,ipc!$C$2:$D$1048576,2,0)</f>
        <v>6.8994647369928002</v>
      </c>
      <c r="O16" s="84">
        <f t="shared" si="3"/>
        <v>945524.38187304651</v>
      </c>
    </row>
    <row r="17" spans="1:15" x14ac:dyDescent="0.3">
      <c r="A17" s="78"/>
      <c r="B17" s="79"/>
      <c r="C17" s="80" t="str">
        <f t="shared" si="0"/>
        <v>Agosto</v>
      </c>
      <c r="D17" s="80">
        <f t="shared" si="4"/>
        <v>1990</v>
      </c>
      <c r="E17" s="97">
        <v>33086</v>
      </c>
      <c r="F17" s="97">
        <v>33116</v>
      </c>
      <c r="G17" s="81">
        <v>47370</v>
      </c>
      <c r="H17" s="98">
        <f t="shared" si="5"/>
        <v>4.2857142857142856</v>
      </c>
      <c r="I17" s="128">
        <f t="shared" si="6"/>
        <v>30</v>
      </c>
      <c r="J17" s="129" cm="1">
        <f t="array" ref="J17">INDEX(tc!$C$4:$C$15, MATCH(1, INDEX((tc!$A$4:$A$15&lt;=E17)*(tc!$B$4:$B$15&gt;=E17), 0), 0))</f>
        <v>6.5000000000000002E-2</v>
      </c>
      <c r="K17" s="82" t="str">
        <f t="shared" si="1"/>
        <v>Diciembre 2023</v>
      </c>
      <c r="L17" s="83">
        <f>VLOOKUP(K17,ipc!$C$2:$D$1048576,2,0)</f>
        <v>137.71610999999999</v>
      </c>
      <c r="M17" s="82" t="str">
        <f t="shared" si="2"/>
        <v>Agosto 1990</v>
      </c>
      <c r="N17" s="83">
        <f>VLOOKUP(M17,ipc!$C$2:$D$1048576,2,0)</f>
        <v>7.00894302311535</v>
      </c>
      <c r="O17" s="84">
        <f t="shared" si="3"/>
        <v>930755.48041769792</v>
      </c>
    </row>
    <row r="18" spans="1:15" x14ac:dyDescent="0.3">
      <c r="A18" s="78"/>
      <c r="B18" s="79"/>
      <c r="C18" s="80" t="str">
        <f t="shared" si="0"/>
        <v>Septiembre</v>
      </c>
      <c r="D18" s="80">
        <f t="shared" si="4"/>
        <v>1990</v>
      </c>
      <c r="E18" s="97">
        <v>33117</v>
      </c>
      <c r="F18" s="97">
        <v>33146</v>
      </c>
      <c r="G18" s="81">
        <v>47370</v>
      </c>
      <c r="H18" s="98">
        <f t="shared" si="5"/>
        <v>4.2857142857142856</v>
      </c>
      <c r="I18" s="128">
        <f t="shared" si="6"/>
        <v>30</v>
      </c>
      <c r="J18" s="129" cm="1">
        <f t="array" ref="J18">INDEX(tc!$C$4:$C$15, MATCH(1, INDEX((tc!$A$4:$A$15&lt;=E18)*(tc!$B$4:$B$15&gt;=E18), 0), 0))</f>
        <v>6.5000000000000002E-2</v>
      </c>
      <c r="K18" s="82" t="str">
        <f t="shared" si="1"/>
        <v>Diciembre 2023</v>
      </c>
      <c r="L18" s="83">
        <f>VLOOKUP(K18,ipc!$C$2:$D$1048576,2,0)</f>
        <v>137.71610999999999</v>
      </c>
      <c r="M18" s="82" t="str">
        <f t="shared" si="2"/>
        <v>Septiembre 1990</v>
      </c>
      <c r="N18" s="83">
        <f>VLOOKUP(M18,ipc!$C$2:$D$1048576,2,0)</f>
        <v>7.1757060531400496</v>
      </c>
      <c r="O18" s="84">
        <f t="shared" si="3"/>
        <v>909124.77216723538</v>
      </c>
    </row>
    <row r="19" spans="1:15" x14ac:dyDescent="0.3">
      <c r="A19" s="78"/>
      <c r="B19" s="79"/>
      <c r="C19" s="80" t="str">
        <f t="shared" si="0"/>
        <v>Octubre</v>
      </c>
      <c r="D19" s="80">
        <f t="shared" si="4"/>
        <v>1990</v>
      </c>
      <c r="E19" s="97">
        <v>33147</v>
      </c>
      <c r="F19" s="97">
        <v>33177</v>
      </c>
      <c r="G19" s="81">
        <v>47370</v>
      </c>
      <c r="H19" s="98">
        <f t="shared" si="5"/>
        <v>4.2857142857142856</v>
      </c>
      <c r="I19" s="128">
        <f t="shared" si="6"/>
        <v>30</v>
      </c>
      <c r="J19" s="129" cm="1">
        <f t="array" ref="J19">INDEX(tc!$C$4:$C$15, MATCH(1, INDEX((tc!$A$4:$A$15&lt;=E19)*(tc!$B$4:$B$15&gt;=E19), 0), 0))</f>
        <v>6.5000000000000002E-2</v>
      </c>
      <c r="K19" s="82" t="str">
        <f t="shared" si="1"/>
        <v>Diciembre 2023</v>
      </c>
      <c r="L19" s="83">
        <f>VLOOKUP(K19,ipc!$C$2:$D$1048576,2,0)</f>
        <v>137.71610999999999</v>
      </c>
      <c r="M19" s="82" t="str">
        <f t="shared" si="2"/>
        <v>Octubre 1990</v>
      </c>
      <c r="N19" s="83">
        <f>VLOOKUP(M19,ipc!$C$2:$D$1048576,2,0)</f>
        <v>7.3139502569632899</v>
      </c>
      <c r="O19" s="84">
        <f t="shared" si="3"/>
        <v>891941.00335713336</v>
      </c>
    </row>
    <row r="20" spans="1:15" x14ac:dyDescent="0.3">
      <c r="A20" s="78"/>
      <c r="B20" s="79"/>
      <c r="C20" s="80" t="str">
        <f t="shared" si="0"/>
        <v>Noviembre</v>
      </c>
      <c r="D20" s="80">
        <f t="shared" si="4"/>
        <v>1990</v>
      </c>
      <c r="E20" s="97">
        <v>33178</v>
      </c>
      <c r="F20" s="97">
        <v>33207</v>
      </c>
      <c r="G20" s="81">
        <v>47370</v>
      </c>
      <c r="H20" s="98">
        <f t="shared" si="5"/>
        <v>4.2857142857142856</v>
      </c>
      <c r="I20" s="128">
        <f t="shared" si="6"/>
        <v>30</v>
      </c>
      <c r="J20" s="129" cm="1">
        <f t="array" ref="J20">INDEX(tc!$C$4:$C$15, MATCH(1, INDEX((tc!$A$4:$A$15&lt;=E20)*(tc!$B$4:$B$15&gt;=E20), 0), 0))</f>
        <v>6.5000000000000002E-2</v>
      </c>
      <c r="K20" s="82" t="str">
        <f t="shared" si="1"/>
        <v>Diciembre 2023</v>
      </c>
      <c r="L20" s="83">
        <f>VLOOKUP(K20,ipc!$C$2:$D$1048576,2,0)</f>
        <v>137.71610999999999</v>
      </c>
      <c r="M20" s="82" t="str">
        <f t="shared" si="2"/>
        <v>Noviembre 1990</v>
      </c>
      <c r="N20" s="83">
        <f>VLOOKUP(M20,ipc!$C$2:$D$1048576,2,0)</f>
        <v>7.4625653237681098</v>
      </c>
      <c r="O20" s="84">
        <f t="shared" si="3"/>
        <v>874178.22795097495</v>
      </c>
    </row>
    <row r="21" spans="1:15" x14ac:dyDescent="0.3">
      <c r="A21" s="85"/>
      <c r="B21" s="79"/>
      <c r="C21" s="80" t="str">
        <f t="shared" si="0"/>
        <v>Diciembre</v>
      </c>
      <c r="D21" s="80">
        <f t="shared" ref="D21:D52" si="7">IF(YEAR(E21)=YEAR(F21), YEAR(E21), "Rev")</f>
        <v>1990</v>
      </c>
      <c r="E21" s="97">
        <v>33208</v>
      </c>
      <c r="F21" s="97">
        <v>33238</v>
      </c>
      <c r="G21" s="81">
        <v>47370</v>
      </c>
      <c r="H21" s="98">
        <f t="shared" ref="H21:H26" si="8">I21/7</f>
        <v>4.2857142857142856</v>
      </c>
      <c r="I21" s="128">
        <f t="shared" si="6"/>
        <v>30</v>
      </c>
      <c r="J21" s="129" cm="1">
        <f t="array" ref="J21">INDEX(tc!$C$4:$C$15, MATCH(1, INDEX((tc!$A$4:$A$15&lt;=E21)*(tc!$B$4:$B$15&gt;=E21), 0), 0))</f>
        <v>6.5000000000000002E-2</v>
      </c>
      <c r="K21" s="82" t="str">
        <f t="shared" si="1"/>
        <v>Diciembre 2023</v>
      </c>
      <c r="L21" s="83">
        <f>VLOOKUP(K21,ipc!$C$2:$D$1048576,2,0)</f>
        <v>137.71610999999999</v>
      </c>
      <c r="M21" s="82" t="str">
        <f t="shared" si="2"/>
        <v>Diciembre 1990</v>
      </c>
      <c r="N21" s="83">
        <f>VLOOKUP(M21,ipc!$C$2:$D$1048576,2,0)</f>
        <v>7.6507757563257899</v>
      </c>
      <c r="O21" s="84">
        <f t="shared" si="3"/>
        <v>852673.28941201384</v>
      </c>
    </row>
    <row r="22" spans="1:15" x14ac:dyDescent="0.3">
      <c r="A22" s="85"/>
      <c r="B22" s="79"/>
      <c r="C22" s="80" t="str">
        <f t="shared" si="0"/>
        <v>Enero</v>
      </c>
      <c r="D22" s="80">
        <f t="shared" si="7"/>
        <v>1991</v>
      </c>
      <c r="E22" s="97">
        <v>33239</v>
      </c>
      <c r="F22" s="97">
        <v>33269</v>
      </c>
      <c r="G22" s="81">
        <v>54630</v>
      </c>
      <c r="H22" s="98">
        <f t="shared" si="8"/>
        <v>4.2857142857142856</v>
      </c>
      <c r="I22" s="128">
        <f t="shared" si="6"/>
        <v>30</v>
      </c>
      <c r="J22" s="129" cm="1">
        <f t="array" ref="J22">INDEX(tc!$C$4:$C$15, MATCH(1, INDEX((tc!$A$4:$A$15&lt;=E22)*(tc!$B$4:$B$15&gt;=E22), 0), 0))</f>
        <v>6.5000000000000002E-2</v>
      </c>
      <c r="K22" s="82" t="str">
        <f t="shared" si="1"/>
        <v>Diciembre 2023</v>
      </c>
      <c r="L22" s="83">
        <f>VLOOKUP(K22,ipc!$C$2:$D$1048576,2,0)</f>
        <v>137.71610999999999</v>
      </c>
      <c r="M22" s="82" t="str">
        <f t="shared" si="2"/>
        <v>Enero 1991</v>
      </c>
      <c r="N22" s="83">
        <f>VLOOKUP(M22,ipc!$C$2:$D$1048576,2,0)</f>
        <v>7.8805883005692996</v>
      </c>
      <c r="O22" s="84">
        <f t="shared" si="3"/>
        <v>954678.86436301994</v>
      </c>
    </row>
    <row r="23" spans="1:15" x14ac:dyDescent="0.3">
      <c r="A23" s="85"/>
      <c r="B23" s="79"/>
      <c r="C23" s="80" t="str">
        <f t="shared" si="0"/>
        <v>Febrero</v>
      </c>
      <c r="D23" s="80">
        <f t="shared" si="7"/>
        <v>1991</v>
      </c>
      <c r="E23" s="97">
        <v>33270</v>
      </c>
      <c r="F23" s="97">
        <v>33297</v>
      </c>
      <c r="G23" s="81">
        <v>54630</v>
      </c>
      <c r="H23" s="98">
        <f t="shared" si="8"/>
        <v>4.2857142857142856</v>
      </c>
      <c r="I23" s="128">
        <f t="shared" si="6"/>
        <v>30</v>
      </c>
      <c r="J23" s="129" cm="1">
        <f t="array" ref="J23">INDEX(tc!$C$4:$C$15, MATCH(1, INDEX((tc!$A$4:$A$15&lt;=E23)*(tc!$B$4:$B$15&gt;=E23), 0), 0))</f>
        <v>6.5000000000000002E-2</v>
      </c>
      <c r="K23" s="82" t="str">
        <f t="shared" si="1"/>
        <v>Diciembre 2023</v>
      </c>
      <c r="L23" s="83">
        <f>VLOOKUP(K23,ipc!$C$2:$D$1048576,2,0)</f>
        <v>137.71610999999999</v>
      </c>
      <c r="M23" s="82" t="str">
        <f t="shared" si="2"/>
        <v>Febrero 1991</v>
      </c>
      <c r="N23" s="83">
        <f>VLOOKUP(M23,ipc!$C$2:$D$1048576,2,0)</f>
        <v>8.1495292495120601</v>
      </c>
      <c r="O23" s="84">
        <f t="shared" si="3"/>
        <v>923173.70230316697</v>
      </c>
    </row>
    <row r="24" spans="1:15" x14ac:dyDescent="0.3">
      <c r="A24" s="85"/>
      <c r="B24" s="79"/>
      <c r="C24" s="80" t="str">
        <f t="shared" si="0"/>
        <v>Marzo</v>
      </c>
      <c r="D24" s="80">
        <f t="shared" si="7"/>
        <v>1991</v>
      </c>
      <c r="E24" s="97">
        <v>33298</v>
      </c>
      <c r="F24" s="97">
        <v>33328</v>
      </c>
      <c r="G24" s="81">
        <v>54630</v>
      </c>
      <c r="H24" s="98">
        <f t="shared" si="8"/>
        <v>4.2857142857142856</v>
      </c>
      <c r="I24" s="128">
        <f t="shared" si="6"/>
        <v>30</v>
      </c>
      <c r="J24" s="129" cm="1">
        <f t="array" ref="J24">INDEX(tc!$C$4:$C$15, MATCH(1, INDEX((tc!$A$4:$A$15&lt;=E24)*(tc!$B$4:$B$15&gt;=E24), 0), 0))</f>
        <v>6.5000000000000002E-2</v>
      </c>
      <c r="K24" s="82" t="str">
        <f t="shared" si="1"/>
        <v>Diciembre 2023</v>
      </c>
      <c r="L24" s="83">
        <f>VLOOKUP(K24,ipc!$C$2:$D$1048576,2,0)</f>
        <v>137.71610999999999</v>
      </c>
      <c r="M24" s="82" t="str">
        <f t="shared" si="2"/>
        <v>Marzo 1991</v>
      </c>
      <c r="N24" s="83">
        <f>VLOOKUP(M24,ipc!$C$2:$D$1048576,2,0)</f>
        <v>8.3556810377083508</v>
      </c>
      <c r="O24" s="84">
        <f t="shared" si="3"/>
        <v>900397.1136939656</v>
      </c>
    </row>
    <row r="25" spans="1:15" x14ac:dyDescent="0.3">
      <c r="A25" s="85"/>
      <c r="B25" s="79"/>
      <c r="C25" s="80" t="str">
        <f t="shared" si="0"/>
        <v>Abril</v>
      </c>
      <c r="D25" s="80">
        <f t="shared" si="7"/>
        <v>1991</v>
      </c>
      <c r="E25" s="97">
        <v>33329</v>
      </c>
      <c r="F25" s="97">
        <v>33358</v>
      </c>
      <c r="G25" s="81">
        <v>54630</v>
      </c>
      <c r="H25" s="98">
        <f t="shared" si="8"/>
        <v>4.2857142857142856</v>
      </c>
      <c r="I25" s="128">
        <f t="shared" si="6"/>
        <v>30</v>
      </c>
      <c r="J25" s="129" cm="1">
        <f t="array" ref="J25">INDEX(tc!$C$4:$C$15, MATCH(1, INDEX((tc!$A$4:$A$15&lt;=E25)*(tc!$B$4:$B$15&gt;=E25), 0), 0))</f>
        <v>6.5000000000000002E-2</v>
      </c>
      <c r="K25" s="82" t="str">
        <f t="shared" si="1"/>
        <v>Diciembre 2023</v>
      </c>
      <c r="L25" s="83">
        <f>VLOOKUP(K25,ipc!$C$2:$D$1048576,2,0)</f>
        <v>137.71610999999999</v>
      </c>
      <c r="M25" s="82" t="str">
        <f t="shared" si="2"/>
        <v>Abril 1991</v>
      </c>
      <c r="N25" s="83">
        <f>VLOOKUP(M25,ipc!$C$2:$D$1048576,2,0)</f>
        <v>8.5896648214981006</v>
      </c>
      <c r="O25" s="84">
        <f t="shared" si="3"/>
        <v>875870.1585736447</v>
      </c>
    </row>
    <row r="26" spans="1:15" x14ac:dyDescent="0.3">
      <c r="A26" s="85"/>
      <c r="B26" s="79"/>
      <c r="C26" s="80" t="str">
        <f t="shared" si="0"/>
        <v>Mayo</v>
      </c>
      <c r="D26" s="80">
        <f t="shared" si="7"/>
        <v>1991</v>
      </c>
      <c r="E26" s="97">
        <v>33359</v>
      </c>
      <c r="F26" s="97">
        <v>33389</v>
      </c>
      <c r="G26" s="81">
        <v>54630</v>
      </c>
      <c r="H26" s="98">
        <f t="shared" si="8"/>
        <v>4.2857142857142856</v>
      </c>
      <c r="I26" s="128">
        <f t="shared" si="6"/>
        <v>30</v>
      </c>
      <c r="J26" s="129" cm="1">
        <f t="array" ref="J26">INDEX(tc!$C$4:$C$15, MATCH(1, INDEX((tc!$A$4:$A$15&lt;=E26)*(tc!$B$4:$B$15&gt;=E26), 0), 0))</f>
        <v>6.5000000000000002E-2</v>
      </c>
      <c r="K26" s="82" t="str">
        <f t="shared" si="1"/>
        <v>Diciembre 2023</v>
      </c>
      <c r="L26" s="83">
        <f>VLOOKUP(K26,ipc!$C$2:$D$1048576,2,0)</f>
        <v>137.71610999999999</v>
      </c>
      <c r="M26" s="82" t="str">
        <f t="shared" si="2"/>
        <v>Mayo 1991</v>
      </c>
      <c r="N26" s="83">
        <f>VLOOKUP(M26,ipc!$C$2:$D$1048576,2,0)</f>
        <v>8.7790255557244805</v>
      </c>
      <c r="O26" s="84">
        <f t="shared" si="3"/>
        <v>856977.92329517088</v>
      </c>
    </row>
    <row r="27" spans="1:15" x14ac:dyDescent="0.3">
      <c r="A27" s="85"/>
      <c r="B27" s="79"/>
      <c r="C27" s="80" t="str">
        <f t="shared" si="0"/>
        <v>Junio</v>
      </c>
      <c r="D27" s="80">
        <f t="shared" si="7"/>
        <v>1991</v>
      </c>
      <c r="E27" s="97">
        <v>33390</v>
      </c>
      <c r="F27" s="97">
        <v>33419</v>
      </c>
      <c r="G27" s="81">
        <v>54630</v>
      </c>
      <c r="H27" s="98">
        <f t="shared" ref="H27:H36" si="9">I27/7</f>
        <v>4.2857142857142856</v>
      </c>
      <c r="I27" s="128">
        <f t="shared" si="6"/>
        <v>30</v>
      </c>
      <c r="J27" s="129" cm="1">
        <f t="array" ref="J27">INDEX(tc!$C$4:$C$15, MATCH(1, INDEX((tc!$A$4:$A$15&lt;=E27)*(tc!$B$4:$B$15&gt;=E27), 0), 0))</f>
        <v>6.5000000000000002E-2</v>
      </c>
      <c r="K27" s="82" t="str">
        <f t="shared" si="1"/>
        <v>Diciembre 2023</v>
      </c>
      <c r="L27" s="83">
        <f>VLOOKUP(K27,ipc!$C$2:$D$1048576,2,0)</f>
        <v>137.71610999999999</v>
      </c>
      <c r="M27" s="82" t="str">
        <f t="shared" si="2"/>
        <v>Junio 1991</v>
      </c>
      <c r="N27" s="83">
        <f>VLOOKUP(M27,ipc!$C$2:$D$1048576,2,0)</f>
        <v>8.9179565901557307</v>
      </c>
      <c r="O27" s="84">
        <f t="shared" si="3"/>
        <v>843627.23828515748</v>
      </c>
    </row>
    <row r="28" spans="1:15" x14ac:dyDescent="0.3">
      <c r="A28" s="85"/>
      <c r="B28" s="79"/>
      <c r="C28" s="80" t="str">
        <f t="shared" si="0"/>
        <v>Julio</v>
      </c>
      <c r="D28" s="80">
        <f t="shared" si="7"/>
        <v>1991</v>
      </c>
      <c r="E28" s="97">
        <v>33420</v>
      </c>
      <c r="F28" s="97">
        <v>33450</v>
      </c>
      <c r="G28" s="81">
        <v>54630</v>
      </c>
      <c r="H28" s="98">
        <f t="shared" si="9"/>
        <v>4.2857142857142856</v>
      </c>
      <c r="I28" s="128">
        <f t="shared" si="6"/>
        <v>30</v>
      </c>
      <c r="J28" s="129" cm="1">
        <f t="array" ref="J28">INDEX(tc!$C$4:$C$15, MATCH(1, INDEX((tc!$A$4:$A$15&lt;=E28)*(tc!$B$4:$B$15&gt;=E28), 0), 0))</f>
        <v>6.5000000000000002E-2</v>
      </c>
      <c r="K28" s="82" t="str">
        <f t="shared" si="1"/>
        <v>Diciembre 2023</v>
      </c>
      <c r="L28" s="83">
        <f>VLOOKUP(K28,ipc!$C$2:$D$1048576,2,0)</f>
        <v>137.71610999999999</v>
      </c>
      <c r="M28" s="82" t="str">
        <f t="shared" si="2"/>
        <v>Julio 1991</v>
      </c>
      <c r="N28" s="83">
        <f>VLOOKUP(M28,ipc!$C$2:$D$1048576,2,0)</f>
        <v>9.0800360496725308</v>
      </c>
      <c r="O28" s="84">
        <f t="shared" si="3"/>
        <v>828568.41626430873</v>
      </c>
    </row>
    <row r="29" spans="1:15" x14ac:dyDescent="0.3">
      <c r="A29" s="85"/>
      <c r="B29" s="79"/>
      <c r="C29" s="80" t="str">
        <f t="shared" si="0"/>
        <v>Agosto</v>
      </c>
      <c r="D29" s="80">
        <f t="shared" si="7"/>
        <v>1991</v>
      </c>
      <c r="E29" s="97">
        <v>33451</v>
      </c>
      <c r="F29" s="97">
        <v>33481</v>
      </c>
      <c r="G29" s="81">
        <v>54630</v>
      </c>
      <c r="H29" s="98">
        <f t="shared" si="9"/>
        <v>4.2857142857142856</v>
      </c>
      <c r="I29" s="128">
        <f t="shared" si="6"/>
        <v>30</v>
      </c>
      <c r="J29" s="129" cm="1">
        <f t="array" ref="J29">INDEX(tc!$C$4:$C$15, MATCH(1, INDEX((tc!$A$4:$A$15&lt;=E29)*(tc!$B$4:$B$15&gt;=E29), 0), 0))</f>
        <v>6.5000000000000002E-2</v>
      </c>
      <c r="K29" s="82" t="str">
        <f t="shared" si="1"/>
        <v>Diciembre 2023</v>
      </c>
      <c r="L29" s="83">
        <f>VLOOKUP(K29,ipc!$C$2:$D$1048576,2,0)</f>
        <v>137.71610999999999</v>
      </c>
      <c r="M29" s="82" t="str">
        <f t="shared" si="2"/>
        <v>Agosto 1991</v>
      </c>
      <c r="N29" s="83">
        <f>VLOOKUP(M29,ipc!$C$2:$D$1048576,2,0)</f>
        <v>9.1957516511540405</v>
      </c>
      <c r="O29" s="84">
        <f t="shared" si="3"/>
        <v>818142.04805714067</v>
      </c>
    </row>
    <row r="30" spans="1:15" x14ac:dyDescent="0.3">
      <c r="A30" s="85"/>
      <c r="B30" s="79"/>
      <c r="C30" s="80" t="str">
        <f t="shared" si="0"/>
        <v>Septiembre</v>
      </c>
      <c r="D30" s="80">
        <f t="shared" si="7"/>
        <v>1991</v>
      </c>
      <c r="E30" s="97">
        <v>33482</v>
      </c>
      <c r="F30" s="97">
        <v>33511</v>
      </c>
      <c r="G30" s="81">
        <v>54630</v>
      </c>
      <c r="H30" s="98">
        <f t="shared" si="9"/>
        <v>4.2857142857142856</v>
      </c>
      <c r="I30" s="128">
        <f t="shared" si="6"/>
        <v>30</v>
      </c>
      <c r="J30" s="129" cm="1">
        <f t="array" ref="J30">INDEX(tc!$C$4:$C$15, MATCH(1, INDEX((tc!$A$4:$A$15&lt;=E30)*(tc!$B$4:$B$15&gt;=E30), 0), 0))</f>
        <v>6.5000000000000002E-2</v>
      </c>
      <c r="K30" s="82" t="str">
        <f t="shared" si="1"/>
        <v>Diciembre 2023</v>
      </c>
      <c r="L30" s="83">
        <f>VLOOKUP(K30,ipc!$C$2:$D$1048576,2,0)</f>
        <v>137.71610999999999</v>
      </c>
      <c r="M30" s="82" t="str">
        <f t="shared" si="2"/>
        <v>Septiembre 1991</v>
      </c>
      <c r="N30" s="83">
        <f>VLOOKUP(M30,ipc!$C$2:$D$1048576,2,0)</f>
        <v>9.3294176822557695</v>
      </c>
      <c r="O30" s="84">
        <f t="shared" si="3"/>
        <v>806420.22316240659</v>
      </c>
    </row>
    <row r="31" spans="1:15" x14ac:dyDescent="0.3">
      <c r="A31" s="85"/>
      <c r="B31" s="79"/>
      <c r="C31" s="80" t="str">
        <f t="shared" si="0"/>
        <v>Octubre</v>
      </c>
      <c r="D31" s="80">
        <f t="shared" si="7"/>
        <v>1991</v>
      </c>
      <c r="E31" s="97">
        <v>33512</v>
      </c>
      <c r="F31" s="97">
        <v>33542</v>
      </c>
      <c r="G31" s="81">
        <v>54630</v>
      </c>
      <c r="H31" s="98">
        <f t="shared" si="9"/>
        <v>4.2857142857142856</v>
      </c>
      <c r="I31" s="128">
        <f t="shared" si="6"/>
        <v>30</v>
      </c>
      <c r="J31" s="129" cm="1">
        <f t="array" ref="J31">INDEX(tc!$C$4:$C$15, MATCH(1, INDEX((tc!$A$4:$A$15&lt;=E31)*(tc!$B$4:$B$15&gt;=E31), 0), 0))</f>
        <v>6.5000000000000002E-2</v>
      </c>
      <c r="K31" s="82" t="str">
        <f t="shared" si="1"/>
        <v>Diciembre 2023</v>
      </c>
      <c r="L31" s="83">
        <f>VLOOKUP(K31,ipc!$C$2:$D$1048576,2,0)</f>
        <v>137.71610999999999</v>
      </c>
      <c r="M31" s="82" t="str">
        <f t="shared" si="2"/>
        <v>Octubre 1991</v>
      </c>
      <c r="N31" s="83">
        <f>VLOOKUP(M31,ipc!$C$2:$D$1048576,2,0)</f>
        <v>9.4533452370942701</v>
      </c>
      <c r="O31" s="84">
        <f t="shared" si="3"/>
        <v>795848.54891140317</v>
      </c>
    </row>
    <row r="32" spans="1:15" x14ac:dyDescent="0.3">
      <c r="A32" s="85"/>
      <c r="B32" s="79"/>
      <c r="C32" s="80" t="str">
        <f t="shared" si="0"/>
        <v>Noviembre</v>
      </c>
      <c r="D32" s="80">
        <f t="shared" si="7"/>
        <v>1991</v>
      </c>
      <c r="E32" s="97">
        <v>33543</v>
      </c>
      <c r="F32" s="97">
        <v>33572</v>
      </c>
      <c r="G32" s="81">
        <v>54630</v>
      </c>
      <c r="H32" s="98">
        <f t="shared" si="9"/>
        <v>4.2857142857142856</v>
      </c>
      <c r="I32" s="128">
        <f t="shared" si="6"/>
        <v>30</v>
      </c>
      <c r="J32" s="129" cm="1">
        <f t="array" ref="J32">INDEX(tc!$C$4:$C$15, MATCH(1, INDEX((tc!$A$4:$A$15&lt;=E32)*(tc!$B$4:$B$15&gt;=E32), 0), 0))</f>
        <v>6.5000000000000002E-2</v>
      </c>
      <c r="K32" s="82" t="str">
        <f t="shared" si="1"/>
        <v>Diciembre 2023</v>
      </c>
      <c r="L32" s="83">
        <f>VLOOKUP(K32,ipc!$C$2:$D$1048576,2,0)</f>
        <v>137.71610999999999</v>
      </c>
      <c r="M32" s="82" t="str">
        <f t="shared" si="2"/>
        <v>Noviembre 1991</v>
      </c>
      <c r="N32" s="83">
        <f>VLOOKUP(M32,ipc!$C$2:$D$1048576,2,0)</f>
        <v>9.5687488332081099</v>
      </c>
      <c r="O32" s="84">
        <f t="shared" si="3"/>
        <v>786250.24237130303</v>
      </c>
    </row>
    <row r="33" spans="1:15" x14ac:dyDescent="0.3">
      <c r="A33" s="85"/>
      <c r="B33" s="79"/>
      <c r="C33" s="80" t="str">
        <f t="shared" si="0"/>
        <v>Diciembre</v>
      </c>
      <c r="D33" s="80">
        <f t="shared" si="7"/>
        <v>1991</v>
      </c>
      <c r="E33" s="97">
        <v>33573</v>
      </c>
      <c r="F33" s="97">
        <v>33603</v>
      </c>
      <c r="G33" s="81">
        <v>54630</v>
      </c>
      <c r="H33" s="98">
        <f t="shared" si="9"/>
        <v>4.2857142857142856</v>
      </c>
      <c r="I33" s="128">
        <f t="shared" si="6"/>
        <v>30</v>
      </c>
      <c r="J33" s="129" cm="1">
        <f t="array" ref="J33">INDEX(tc!$C$4:$C$15, MATCH(1, INDEX((tc!$A$4:$A$15&lt;=E33)*(tc!$B$4:$B$15&gt;=E33), 0), 0))</f>
        <v>6.5000000000000002E-2</v>
      </c>
      <c r="K33" s="82" t="str">
        <f t="shared" si="1"/>
        <v>Diciembre 2023</v>
      </c>
      <c r="L33" s="83">
        <f>VLOOKUP(K33,ipc!$C$2:$D$1048576,2,0)</f>
        <v>137.71610999999999</v>
      </c>
      <c r="M33" s="82" t="str">
        <f t="shared" si="2"/>
        <v>Diciembre 1991</v>
      </c>
      <c r="N33" s="83">
        <f>VLOOKUP(M33,ipc!$C$2:$D$1048576,2,0)</f>
        <v>9.7030018811201408</v>
      </c>
      <c r="O33" s="84">
        <f t="shared" si="3"/>
        <v>775371.49651994859</v>
      </c>
    </row>
    <row r="34" spans="1:15" x14ac:dyDescent="0.3">
      <c r="A34" s="85"/>
      <c r="B34" s="79"/>
      <c r="C34" s="80" t="str">
        <f t="shared" si="0"/>
        <v>Enero</v>
      </c>
      <c r="D34" s="80">
        <f t="shared" si="7"/>
        <v>1992</v>
      </c>
      <c r="E34" s="97">
        <v>33604</v>
      </c>
      <c r="F34" s="97">
        <v>33634</v>
      </c>
      <c r="G34" s="81">
        <v>70260</v>
      </c>
      <c r="H34" s="98">
        <f t="shared" si="9"/>
        <v>4.2857142857142856</v>
      </c>
      <c r="I34" s="128">
        <f t="shared" si="6"/>
        <v>30</v>
      </c>
      <c r="J34" s="129" cm="1">
        <f t="array" ref="J34">INDEX(tc!$C$4:$C$15, MATCH(1, INDEX((tc!$A$4:$A$15&lt;=E34)*(tc!$B$4:$B$15&gt;=E34), 0), 0))</f>
        <v>6.5000000000000002E-2</v>
      </c>
      <c r="K34" s="82" t="str">
        <f t="shared" si="1"/>
        <v>Diciembre 2023</v>
      </c>
      <c r="L34" s="83">
        <f>VLOOKUP(K34,ipc!$C$2:$D$1048576,2,0)</f>
        <v>137.71610999999999</v>
      </c>
      <c r="M34" s="82" t="str">
        <f t="shared" si="2"/>
        <v>Enero 1992</v>
      </c>
      <c r="N34" s="83">
        <f>VLOOKUP(M34,ipc!$C$2:$D$1048576,2,0)</f>
        <v>10.042521655022201</v>
      </c>
      <c r="O34" s="84">
        <f t="shared" si="3"/>
        <v>963496.44252558087</v>
      </c>
    </row>
    <row r="35" spans="1:15" x14ac:dyDescent="0.3">
      <c r="A35" s="85"/>
      <c r="B35" s="79"/>
      <c r="C35" s="80" t="str">
        <f t="shared" si="0"/>
        <v>Febrero</v>
      </c>
      <c r="D35" s="80">
        <f t="shared" si="7"/>
        <v>1992</v>
      </c>
      <c r="E35" s="97">
        <v>33635</v>
      </c>
      <c r="F35" s="97">
        <v>33662</v>
      </c>
      <c r="G35" s="81">
        <v>70260</v>
      </c>
      <c r="H35" s="98">
        <f t="shared" si="9"/>
        <v>4.2857142857142856</v>
      </c>
      <c r="I35" s="128">
        <f t="shared" si="6"/>
        <v>30</v>
      </c>
      <c r="J35" s="129" cm="1">
        <f t="array" ref="J35">INDEX(tc!$C$4:$C$15, MATCH(1, INDEX((tc!$A$4:$A$15&lt;=E35)*(tc!$B$4:$B$15&gt;=E35), 0), 0))</f>
        <v>6.5000000000000002E-2</v>
      </c>
      <c r="K35" s="82" t="str">
        <f t="shared" si="1"/>
        <v>Diciembre 2023</v>
      </c>
      <c r="L35" s="83">
        <f>VLOOKUP(K35,ipc!$C$2:$D$1048576,2,0)</f>
        <v>137.71610999999999</v>
      </c>
      <c r="M35" s="82" t="str">
        <f t="shared" si="2"/>
        <v>Febrero 1992</v>
      </c>
      <c r="N35" s="83">
        <f>VLOOKUP(M35,ipc!$C$2:$D$1048576,2,0)</f>
        <v>10.3784767501487</v>
      </c>
      <c r="O35" s="84">
        <f t="shared" si="3"/>
        <v>932307.70965126122</v>
      </c>
    </row>
    <row r="36" spans="1:15" x14ac:dyDescent="0.3">
      <c r="A36" s="85"/>
      <c r="B36" s="79"/>
      <c r="C36" s="80" t="str">
        <f t="shared" si="0"/>
        <v>Marzo</v>
      </c>
      <c r="D36" s="80">
        <f t="shared" si="7"/>
        <v>1992</v>
      </c>
      <c r="E36" s="97">
        <v>33664</v>
      </c>
      <c r="F36" s="97">
        <v>33694</v>
      </c>
      <c r="G36" s="81">
        <v>70260</v>
      </c>
      <c r="H36" s="98">
        <f t="shared" si="9"/>
        <v>4.2857142857142856</v>
      </c>
      <c r="I36" s="128">
        <f t="shared" si="6"/>
        <v>30</v>
      </c>
      <c r="J36" s="129" cm="1">
        <f t="array" ref="J36">INDEX(tc!$C$4:$C$15, MATCH(1, INDEX((tc!$A$4:$A$15&lt;=E36)*(tc!$B$4:$B$15&gt;=E36), 0), 0))</f>
        <v>6.5000000000000002E-2</v>
      </c>
      <c r="K36" s="82" t="str">
        <f t="shared" si="1"/>
        <v>Diciembre 2023</v>
      </c>
      <c r="L36" s="83">
        <f>VLOOKUP(K36,ipc!$C$2:$D$1048576,2,0)</f>
        <v>137.71610999999999</v>
      </c>
      <c r="M36" s="82" t="str">
        <f t="shared" si="2"/>
        <v>Marzo 1992</v>
      </c>
      <c r="N36" s="83">
        <f>VLOOKUP(M36,ipc!$C$2:$D$1048576,2,0)</f>
        <v>10.6188437310018</v>
      </c>
      <c r="O36" s="84">
        <f t="shared" si="3"/>
        <v>911204.09469357121</v>
      </c>
    </row>
    <row r="37" spans="1:15" x14ac:dyDescent="0.3">
      <c r="A37" s="85"/>
      <c r="B37" s="79"/>
      <c r="C37" s="80" t="str">
        <f t="shared" si="0"/>
        <v>Abril</v>
      </c>
      <c r="D37" s="80">
        <f t="shared" si="7"/>
        <v>1992</v>
      </c>
      <c r="E37" s="97">
        <v>33695</v>
      </c>
      <c r="F37" s="97">
        <v>33724</v>
      </c>
      <c r="G37" s="81">
        <v>70260</v>
      </c>
      <c r="H37" s="98">
        <f>I37/7</f>
        <v>4.2857142857142856</v>
      </c>
      <c r="I37" s="128">
        <f t="shared" si="6"/>
        <v>30</v>
      </c>
      <c r="J37" s="129" cm="1">
        <f t="array" ref="J37">INDEX(tc!$C$4:$C$15, MATCH(1, INDEX((tc!$A$4:$A$15&lt;=E37)*(tc!$B$4:$B$15&gt;=E37), 0), 0))</f>
        <v>6.5000000000000002E-2</v>
      </c>
      <c r="K37" s="82" t="str">
        <f t="shared" si="1"/>
        <v>Diciembre 2023</v>
      </c>
      <c r="L37" s="83">
        <f>VLOOKUP(K37,ipc!$C$2:$D$1048576,2,0)</f>
        <v>137.71610999999999</v>
      </c>
      <c r="M37" s="82" t="str">
        <f t="shared" si="2"/>
        <v>Abril 1992</v>
      </c>
      <c r="N37" s="83">
        <f>VLOOKUP(M37,ipc!$C$2:$D$1048576,2,0)</f>
        <v>10.9219265827498</v>
      </c>
      <c r="O37" s="84">
        <f t="shared" si="3"/>
        <v>885918.23203447147</v>
      </c>
    </row>
    <row r="38" spans="1:15" x14ac:dyDescent="0.3">
      <c r="A38" s="85"/>
      <c r="B38" s="79"/>
      <c r="C38" s="80" t="str">
        <f t="shared" si="0"/>
        <v>Mayo</v>
      </c>
      <c r="D38" s="80">
        <f t="shared" si="7"/>
        <v>1992</v>
      </c>
      <c r="E38" s="97">
        <v>33725</v>
      </c>
      <c r="F38" s="97">
        <v>33755</v>
      </c>
      <c r="G38" s="81">
        <v>70260</v>
      </c>
      <c r="H38" s="98">
        <f t="shared" ref="H38:H43" si="10">I38/7</f>
        <v>4.2857142857142856</v>
      </c>
      <c r="I38" s="128">
        <f t="shared" si="6"/>
        <v>30</v>
      </c>
      <c r="J38" s="129" cm="1">
        <f t="array" ref="J38">INDEX(tc!$C$4:$C$15, MATCH(1, INDEX((tc!$A$4:$A$15&lt;=E38)*(tc!$B$4:$B$15&gt;=E38), 0), 0))</f>
        <v>6.5000000000000002E-2</v>
      </c>
      <c r="K38" s="82" t="str">
        <f t="shared" si="1"/>
        <v>Diciembre 2023</v>
      </c>
      <c r="L38" s="83">
        <f>VLOOKUP(K38,ipc!$C$2:$D$1048576,2,0)</f>
        <v>137.71610999999999</v>
      </c>
      <c r="M38" s="82" t="str">
        <f t="shared" si="2"/>
        <v>Mayo 1992</v>
      </c>
      <c r="N38" s="83">
        <f>VLOOKUP(M38,ipc!$C$2:$D$1048576,2,0)</f>
        <v>11.176371497071401</v>
      </c>
      <c r="O38" s="84">
        <f t="shared" si="3"/>
        <v>865749.12896689516</v>
      </c>
    </row>
    <row r="39" spans="1:15" x14ac:dyDescent="0.3">
      <c r="A39" s="85"/>
      <c r="B39" s="79"/>
      <c r="C39" s="80" t="str">
        <f t="shared" si="0"/>
        <v>Junio</v>
      </c>
      <c r="D39" s="80">
        <f t="shared" si="7"/>
        <v>1992</v>
      </c>
      <c r="E39" s="97">
        <v>33756</v>
      </c>
      <c r="F39" s="97">
        <v>33785</v>
      </c>
      <c r="G39" s="81">
        <v>70620</v>
      </c>
      <c r="H39" s="98">
        <f t="shared" si="10"/>
        <v>4.2857142857142856</v>
      </c>
      <c r="I39" s="128">
        <f t="shared" si="6"/>
        <v>30</v>
      </c>
      <c r="J39" s="129" cm="1">
        <f t="array" ref="J39">INDEX(tc!$C$4:$C$15, MATCH(1, INDEX((tc!$A$4:$A$15&lt;=E39)*(tc!$B$4:$B$15&gt;=E39), 0), 0))</f>
        <v>6.5000000000000002E-2</v>
      </c>
      <c r="K39" s="82" t="str">
        <f t="shared" si="1"/>
        <v>Diciembre 2023</v>
      </c>
      <c r="L39" s="83">
        <f>VLOOKUP(K39,ipc!$C$2:$D$1048576,2,0)</f>
        <v>137.71610999999999</v>
      </c>
      <c r="M39" s="82" t="str">
        <f t="shared" si="2"/>
        <v>Junio 1992</v>
      </c>
      <c r="N39" s="83">
        <f>VLOOKUP(M39,ipc!$C$2:$D$1048576,2,0)</f>
        <v>11.4272245106726</v>
      </c>
      <c r="O39" s="84">
        <f t="shared" si="3"/>
        <v>851082.577323718</v>
      </c>
    </row>
    <row r="40" spans="1:15" x14ac:dyDescent="0.3">
      <c r="A40" s="85"/>
      <c r="B40" s="79"/>
      <c r="C40" s="80" t="str">
        <f t="shared" si="0"/>
        <v>Julio</v>
      </c>
      <c r="D40" s="80">
        <f t="shared" si="7"/>
        <v>1992</v>
      </c>
      <c r="E40" s="97">
        <v>33786</v>
      </c>
      <c r="F40" s="97">
        <v>33816</v>
      </c>
      <c r="G40" s="81">
        <v>70620</v>
      </c>
      <c r="H40" s="98">
        <f t="shared" si="10"/>
        <v>4.2857142857142856</v>
      </c>
      <c r="I40" s="128">
        <f t="shared" si="6"/>
        <v>30</v>
      </c>
      <c r="J40" s="129" cm="1">
        <f t="array" ref="J40">INDEX(tc!$C$4:$C$15, MATCH(1, INDEX((tc!$A$4:$A$15&lt;=E40)*(tc!$B$4:$B$15&gt;=E40), 0), 0))</f>
        <v>6.5000000000000002E-2</v>
      </c>
      <c r="K40" s="82" t="str">
        <f t="shared" si="1"/>
        <v>Diciembre 2023</v>
      </c>
      <c r="L40" s="83">
        <f>VLOOKUP(K40,ipc!$C$2:$D$1048576,2,0)</f>
        <v>137.71610999999999</v>
      </c>
      <c r="M40" s="82" t="str">
        <f t="shared" si="2"/>
        <v>Julio 1992</v>
      </c>
      <c r="N40" s="83">
        <f>VLOOKUP(M40,ipc!$C$2:$D$1048576,2,0)</f>
        <v>11.6557220255813</v>
      </c>
      <c r="O40" s="84">
        <f t="shared" si="3"/>
        <v>834398.04645778378</v>
      </c>
    </row>
    <row r="41" spans="1:15" x14ac:dyDescent="0.3">
      <c r="A41" s="85"/>
      <c r="B41" s="79"/>
      <c r="C41" s="80" t="str">
        <f t="shared" si="0"/>
        <v>Agosto</v>
      </c>
      <c r="D41" s="80">
        <f t="shared" si="7"/>
        <v>1992</v>
      </c>
      <c r="E41" s="97">
        <v>33817</v>
      </c>
      <c r="F41" s="97">
        <v>33847</v>
      </c>
      <c r="G41" s="81">
        <v>70620</v>
      </c>
      <c r="H41" s="98">
        <f t="shared" si="10"/>
        <v>4.2857142857142856</v>
      </c>
      <c r="I41" s="128">
        <f t="shared" si="6"/>
        <v>30</v>
      </c>
      <c r="J41" s="129" cm="1">
        <f t="array" ref="J41">INDEX(tc!$C$4:$C$15, MATCH(1, INDEX((tc!$A$4:$A$15&lt;=E41)*(tc!$B$4:$B$15&gt;=E41), 0), 0))</f>
        <v>6.5000000000000002E-2</v>
      </c>
      <c r="K41" s="82" t="str">
        <f t="shared" si="1"/>
        <v>Diciembre 2023</v>
      </c>
      <c r="L41" s="83">
        <f>VLOOKUP(K41,ipc!$C$2:$D$1048576,2,0)</f>
        <v>137.71610999999999</v>
      </c>
      <c r="M41" s="82" t="str">
        <f t="shared" si="2"/>
        <v>Agosto 1992</v>
      </c>
      <c r="N41" s="83">
        <f>VLOOKUP(M41,ipc!$C$2:$D$1048576,2,0)</f>
        <v>11.7435323416179</v>
      </c>
      <c r="O41" s="84">
        <f t="shared" si="3"/>
        <v>828158.97340647341</v>
      </c>
    </row>
    <row r="42" spans="1:15" x14ac:dyDescent="0.3">
      <c r="A42" s="85"/>
      <c r="B42" s="79"/>
      <c r="C42" s="80" t="str">
        <f t="shared" si="0"/>
        <v>Septiembre</v>
      </c>
      <c r="D42" s="80">
        <f t="shared" si="7"/>
        <v>1992</v>
      </c>
      <c r="E42" s="97">
        <v>33848</v>
      </c>
      <c r="F42" s="97">
        <v>33877</v>
      </c>
      <c r="G42" s="81">
        <v>70620</v>
      </c>
      <c r="H42" s="98">
        <f t="shared" si="10"/>
        <v>4.2857142857142856</v>
      </c>
      <c r="I42" s="128">
        <f t="shared" si="6"/>
        <v>30</v>
      </c>
      <c r="J42" s="129" cm="1">
        <f t="array" ref="J42">INDEX(tc!$C$4:$C$15, MATCH(1, INDEX((tc!$A$4:$A$15&lt;=E42)*(tc!$B$4:$B$15&gt;=E42), 0), 0))</f>
        <v>6.5000000000000002E-2</v>
      </c>
      <c r="K42" s="82" t="str">
        <f t="shared" si="1"/>
        <v>Diciembre 2023</v>
      </c>
      <c r="L42" s="83">
        <f>VLOOKUP(K42,ipc!$C$2:$D$1048576,2,0)</f>
        <v>137.71610999999999</v>
      </c>
      <c r="M42" s="82" t="str">
        <f t="shared" si="2"/>
        <v>Septiembre 1992</v>
      </c>
      <c r="N42" s="83">
        <f>VLOOKUP(M42,ipc!$C$2:$D$1048576,2,0)</f>
        <v>11.841012730056301</v>
      </c>
      <c r="O42" s="84">
        <f t="shared" si="3"/>
        <v>821341.20703320589</v>
      </c>
    </row>
    <row r="43" spans="1:15" x14ac:dyDescent="0.3">
      <c r="A43" s="85"/>
      <c r="B43" s="79"/>
      <c r="C43" s="80" t="str">
        <f t="shared" ref="C43:C74" si="11">IF(MONTH(E43)=MONTH(F43), PROPER(TEXT(E43, "mmmm")), "Rev")</f>
        <v>Octubre</v>
      </c>
      <c r="D43" s="80">
        <f t="shared" si="7"/>
        <v>1992</v>
      </c>
      <c r="E43" s="97">
        <v>33878</v>
      </c>
      <c r="F43" s="97">
        <v>33908</v>
      </c>
      <c r="G43" s="81">
        <v>70620</v>
      </c>
      <c r="H43" s="98">
        <f t="shared" si="10"/>
        <v>4.2857142857142856</v>
      </c>
      <c r="I43" s="128">
        <f t="shared" si="6"/>
        <v>30</v>
      </c>
      <c r="J43" s="129" cm="1">
        <f t="array" ref="J43">INDEX(tc!$C$4:$C$15, MATCH(1, INDEX((tc!$A$4:$A$15&lt;=E43)*(tc!$B$4:$B$15&gt;=E43), 0), 0))</f>
        <v>6.5000000000000002E-2</v>
      </c>
      <c r="K43" s="82" t="str">
        <f t="shared" ref="K43:K76" si="12">CONCATENATE($B$4," ",$B$5)</f>
        <v>Diciembre 2023</v>
      </c>
      <c r="L43" s="83">
        <f>VLOOKUP(K43,ipc!$C$2:$D$1048576,2,0)</f>
        <v>137.71610999999999</v>
      </c>
      <c r="M43" s="82" t="str">
        <f t="shared" ref="M43:M76" si="13">C43&amp;" "&amp;D43</f>
        <v>Octubre 1992</v>
      </c>
      <c r="N43" s="83">
        <f>VLOOKUP(M43,ipc!$C$2:$D$1048576,2,0)</f>
        <v>11.9416648240667</v>
      </c>
      <c r="O43" s="84">
        <f t="shared" ref="O43:O74" si="14">G43*(L43/N43)</f>
        <v>814418.41078972793</v>
      </c>
    </row>
    <row r="44" spans="1:15" x14ac:dyDescent="0.3">
      <c r="A44" s="85"/>
      <c r="B44" s="79"/>
      <c r="C44" s="80" t="str">
        <f t="shared" si="11"/>
        <v>Noviembre</v>
      </c>
      <c r="D44" s="80">
        <f t="shared" si="7"/>
        <v>1992</v>
      </c>
      <c r="E44" s="97">
        <v>33909</v>
      </c>
      <c r="F44" s="97">
        <v>33938</v>
      </c>
      <c r="G44" s="81">
        <v>70620</v>
      </c>
      <c r="H44" s="98">
        <f>I44/7</f>
        <v>4.2857142857142856</v>
      </c>
      <c r="I44" s="128">
        <f t="shared" si="6"/>
        <v>30</v>
      </c>
      <c r="J44" s="129" cm="1">
        <f t="array" ref="J44">INDEX(tc!$C$4:$C$15, MATCH(1, INDEX((tc!$A$4:$A$15&lt;=E44)*(tc!$B$4:$B$15&gt;=E44), 0), 0))</f>
        <v>6.5000000000000002E-2</v>
      </c>
      <c r="K44" s="82" t="str">
        <f t="shared" si="12"/>
        <v>Diciembre 2023</v>
      </c>
      <c r="L44" s="83">
        <f>VLOOKUP(K44,ipc!$C$2:$D$1048576,2,0)</f>
        <v>137.71610999999999</v>
      </c>
      <c r="M44" s="82" t="str">
        <f t="shared" si="13"/>
        <v>Noviembre 1992</v>
      </c>
      <c r="N44" s="83">
        <f>VLOOKUP(M44,ipc!$C$2:$D$1048576,2,0)</f>
        <v>12.0286368438023</v>
      </c>
      <c r="O44" s="84">
        <f t="shared" si="14"/>
        <v>808529.82881522644</v>
      </c>
    </row>
    <row r="45" spans="1:15" x14ac:dyDescent="0.3">
      <c r="A45" s="85"/>
      <c r="B45" s="79"/>
      <c r="C45" s="80" t="str">
        <f t="shared" si="11"/>
        <v>Diciembre</v>
      </c>
      <c r="D45" s="80">
        <f t="shared" si="7"/>
        <v>1992</v>
      </c>
      <c r="E45" s="97">
        <v>33939</v>
      </c>
      <c r="F45" s="97">
        <v>33969</v>
      </c>
      <c r="G45" s="81">
        <v>70620</v>
      </c>
      <c r="H45" s="98">
        <f t="shared" ref="H45:H76" si="15">I45/7</f>
        <v>4.2857142857142856</v>
      </c>
      <c r="I45" s="128">
        <f t="shared" si="6"/>
        <v>30</v>
      </c>
      <c r="J45" s="129" cm="1">
        <f t="array" ref="J45">INDEX(tc!$C$4:$C$15, MATCH(1, INDEX((tc!$A$4:$A$15&lt;=E45)*(tc!$B$4:$B$15&gt;=E45), 0), 0))</f>
        <v>6.5000000000000002E-2</v>
      </c>
      <c r="K45" s="82" t="str">
        <f t="shared" si="12"/>
        <v>Diciembre 2023</v>
      </c>
      <c r="L45" s="83">
        <f>VLOOKUP(K45,ipc!$C$2:$D$1048576,2,0)</f>
        <v>137.71610999999999</v>
      </c>
      <c r="M45" s="82" t="str">
        <f t="shared" si="13"/>
        <v>Diciembre 1992</v>
      </c>
      <c r="N45" s="83">
        <f>VLOOKUP(M45,ipc!$C$2:$D$1048576,2,0)</f>
        <v>12.141734950588599</v>
      </c>
      <c r="O45" s="84">
        <f t="shared" si="14"/>
        <v>800998.5169152891</v>
      </c>
    </row>
    <row r="46" spans="1:15" x14ac:dyDescent="0.3">
      <c r="A46" s="85"/>
      <c r="B46" s="79"/>
      <c r="C46" s="80" t="str">
        <f t="shared" si="11"/>
        <v>Enero</v>
      </c>
      <c r="D46" s="80">
        <f t="shared" si="7"/>
        <v>1993</v>
      </c>
      <c r="E46" s="97">
        <v>33970</v>
      </c>
      <c r="F46" s="97">
        <v>34000</v>
      </c>
      <c r="G46" s="81">
        <v>89070</v>
      </c>
      <c r="H46" s="98">
        <f t="shared" si="15"/>
        <v>4.2857142857142856</v>
      </c>
      <c r="I46" s="128">
        <f t="shared" si="6"/>
        <v>30</v>
      </c>
      <c r="J46" s="129" cm="1">
        <f t="array" ref="J46">INDEX(tc!$C$4:$C$15, MATCH(1, INDEX((tc!$A$4:$A$15&lt;=E46)*(tc!$B$4:$B$15&gt;=E46), 0), 0))</f>
        <v>6.5000000000000002E-2</v>
      </c>
      <c r="K46" s="82" t="str">
        <f t="shared" si="12"/>
        <v>Diciembre 2023</v>
      </c>
      <c r="L46" s="83">
        <f>VLOOKUP(K46,ipc!$C$2:$D$1048576,2,0)</f>
        <v>137.71610999999999</v>
      </c>
      <c r="M46" s="82" t="str">
        <f t="shared" si="13"/>
        <v>Enero 1993</v>
      </c>
      <c r="N46" s="83">
        <f>VLOOKUP(M46,ipc!$C$2:$D$1048576,2,0)</f>
        <v>12.535185585190099</v>
      </c>
      <c r="O46" s="84">
        <f t="shared" si="14"/>
        <v>978555.42978097638</v>
      </c>
    </row>
    <row r="47" spans="1:15" x14ac:dyDescent="0.3">
      <c r="A47" s="85"/>
      <c r="B47" s="79"/>
      <c r="C47" s="80" t="str">
        <f t="shared" si="11"/>
        <v>Febrero</v>
      </c>
      <c r="D47" s="80">
        <f t="shared" si="7"/>
        <v>1993</v>
      </c>
      <c r="E47" s="97">
        <v>34001</v>
      </c>
      <c r="F47" s="97">
        <v>34028</v>
      </c>
      <c r="G47" s="81">
        <v>89070</v>
      </c>
      <c r="H47" s="98">
        <f t="shared" si="15"/>
        <v>4.2857142857142856</v>
      </c>
      <c r="I47" s="128">
        <f t="shared" si="6"/>
        <v>30</v>
      </c>
      <c r="J47" s="129" cm="1">
        <f t="array" ref="J47">INDEX(tc!$C$4:$C$15, MATCH(1, INDEX((tc!$A$4:$A$15&lt;=E47)*(tc!$B$4:$B$15&gt;=E47), 0), 0))</f>
        <v>6.5000000000000002E-2</v>
      </c>
      <c r="K47" s="82" t="str">
        <f t="shared" si="12"/>
        <v>Diciembre 2023</v>
      </c>
      <c r="L47" s="83">
        <f>VLOOKUP(K47,ipc!$C$2:$D$1048576,2,0)</f>
        <v>137.71610999999999</v>
      </c>
      <c r="M47" s="82" t="str">
        <f t="shared" si="13"/>
        <v>Febrero 1993</v>
      </c>
      <c r="N47" s="83">
        <f>VLOOKUP(M47,ipc!$C$2:$D$1048576,2,0)</f>
        <v>12.943539187588</v>
      </c>
      <c r="O47" s="84">
        <f t="shared" si="14"/>
        <v>947683.14445732441</v>
      </c>
    </row>
    <row r="48" spans="1:15" x14ac:dyDescent="0.3">
      <c r="A48" s="85"/>
      <c r="B48" s="79"/>
      <c r="C48" s="80" t="str">
        <f t="shared" si="11"/>
        <v>Marzo</v>
      </c>
      <c r="D48" s="80">
        <f t="shared" si="7"/>
        <v>1993</v>
      </c>
      <c r="E48" s="97">
        <v>34029</v>
      </c>
      <c r="F48" s="97">
        <v>34059</v>
      </c>
      <c r="G48" s="81">
        <v>89070</v>
      </c>
      <c r="H48" s="98">
        <f t="shared" si="15"/>
        <v>4.2857142857142856</v>
      </c>
      <c r="I48" s="128">
        <f t="shared" si="6"/>
        <v>30</v>
      </c>
      <c r="J48" s="129" cm="1">
        <f t="array" ref="J48">INDEX(tc!$C$4:$C$15, MATCH(1, INDEX((tc!$A$4:$A$15&lt;=E48)*(tc!$B$4:$B$15&gt;=E48), 0), 0))</f>
        <v>6.5000000000000002E-2</v>
      </c>
      <c r="K48" s="82" t="str">
        <f t="shared" si="12"/>
        <v>Diciembre 2023</v>
      </c>
      <c r="L48" s="83">
        <f>VLOOKUP(K48,ipc!$C$2:$D$1048576,2,0)</f>
        <v>137.71610999999999</v>
      </c>
      <c r="M48" s="82" t="str">
        <f t="shared" si="13"/>
        <v>Marzo 1993</v>
      </c>
      <c r="N48" s="83">
        <f>VLOOKUP(M48,ipc!$C$2:$D$1048576,2,0)</f>
        <v>13.1867198007387</v>
      </c>
      <c r="O48" s="84">
        <f t="shared" si="14"/>
        <v>930206.60960831633</v>
      </c>
    </row>
    <row r="49" spans="1:15" x14ac:dyDescent="0.3">
      <c r="A49" s="85"/>
      <c r="B49" s="79"/>
      <c r="C49" s="80" t="str">
        <f t="shared" si="11"/>
        <v>Abril</v>
      </c>
      <c r="D49" s="80">
        <f t="shared" si="7"/>
        <v>1993</v>
      </c>
      <c r="E49" s="97">
        <v>34060</v>
      </c>
      <c r="F49" s="97">
        <v>34089</v>
      </c>
      <c r="G49" s="81">
        <v>89070</v>
      </c>
      <c r="H49" s="98">
        <f t="shared" si="15"/>
        <v>4.2857142857142856</v>
      </c>
      <c r="I49" s="128">
        <f t="shared" si="6"/>
        <v>30</v>
      </c>
      <c r="J49" s="129" cm="1">
        <f t="array" ref="J49">INDEX(tc!$C$4:$C$15, MATCH(1, INDEX((tc!$A$4:$A$15&lt;=E49)*(tc!$B$4:$B$15&gt;=E49), 0), 0))</f>
        <v>6.5000000000000002E-2</v>
      </c>
      <c r="K49" s="82" t="str">
        <f t="shared" si="12"/>
        <v>Diciembre 2023</v>
      </c>
      <c r="L49" s="83">
        <f>VLOOKUP(K49,ipc!$C$2:$D$1048576,2,0)</f>
        <v>137.71610999999999</v>
      </c>
      <c r="M49" s="82" t="str">
        <f t="shared" si="13"/>
        <v>Abril 1993</v>
      </c>
      <c r="N49" s="83">
        <f>VLOOKUP(M49,ipc!$C$2:$D$1048576,2,0)</f>
        <v>13.442925067492601</v>
      </c>
      <c r="O49" s="84">
        <f t="shared" si="14"/>
        <v>912478.04001840996</v>
      </c>
    </row>
    <row r="50" spans="1:15" x14ac:dyDescent="0.3">
      <c r="A50" s="85"/>
      <c r="B50" s="79"/>
      <c r="C50" s="80" t="str">
        <f t="shared" si="11"/>
        <v>Mayo</v>
      </c>
      <c r="D50" s="80">
        <f t="shared" si="7"/>
        <v>1993</v>
      </c>
      <c r="E50" s="97">
        <v>34090</v>
      </c>
      <c r="F50" s="97">
        <v>34120</v>
      </c>
      <c r="G50" s="81">
        <v>89070</v>
      </c>
      <c r="H50" s="98">
        <f t="shared" si="15"/>
        <v>4.2857142857142856</v>
      </c>
      <c r="I50" s="128">
        <f t="shared" si="6"/>
        <v>30</v>
      </c>
      <c r="J50" s="129" cm="1">
        <f t="array" ref="J50">INDEX(tc!$C$4:$C$15, MATCH(1, INDEX((tc!$A$4:$A$15&lt;=E50)*(tc!$B$4:$B$15&gt;=E50), 0), 0))</f>
        <v>6.5000000000000002E-2</v>
      </c>
      <c r="K50" s="82" t="str">
        <f t="shared" si="12"/>
        <v>Diciembre 2023</v>
      </c>
      <c r="L50" s="83">
        <f>VLOOKUP(K50,ipc!$C$2:$D$1048576,2,0)</f>
        <v>137.71610999999999</v>
      </c>
      <c r="M50" s="82" t="str">
        <f t="shared" si="13"/>
        <v>Mayo 1993</v>
      </c>
      <c r="N50" s="83">
        <f>VLOOKUP(M50,ipc!$C$2:$D$1048576,2,0)</f>
        <v>13.659109189356601</v>
      </c>
      <c r="O50" s="84">
        <f t="shared" si="14"/>
        <v>898036.156505591</v>
      </c>
    </row>
    <row r="51" spans="1:15" x14ac:dyDescent="0.3">
      <c r="A51" s="85"/>
      <c r="B51" s="79"/>
      <c r="C51" s="80" t="str">
        <f t="shared" si="11"/>
        <v>Junio</v>
      </c>
      <c r="D51" s="80">
        <f t="shared" si="7"/>
        <v>1993</v>
      </c>
      <c r="E51" s="97">
        <v>34121</v>
      </c>
      <c r="F51" s="97">
        <v>34150</v>
      </c>
      <c r="G51" s="81">
        <v>89070</v>
      </c>
      <c r="H51" s="98">
        <f t="shared" si="15"/>
        <v>4.2857142857142856</v>
      </c>
      <c r="I51" s="128">
        <f t="shared" si="6"/>
        <v>30</v>
      </c>
      <c r="J51" s="129" cm="1">
        <f t="array" ref="J51">INDEX(tc!$C$4:$C$15, MATCH(1, INDEX((tc!$A$4:$A$15&lt;=E51)*(tc!$B$4:$B$15&gt;=E51), 0), 0))</f>
        <v>6.5000000000000002E-2</v>
      </c>
      <c r="K51" s="82" t="str">
        <f t="shared" si="12"/>
        <v>Diciembre 2023</v>
      </c>
      <c r="L51" s="83">
        <f>VLOOKUP(K51,ipc!$C$2:$D$1048576,2,0)</f>
        <v>137.71610999999999</v>
      </c>
      <c r="M51" s="82" t="str">
        <f t="shared" si="13"/>
        <v>Junio 1993</v>
      </c>
      <c r="N51" s="83">
        <f>VLOOKUP(M51,ipc!$C$2:$D$1048576,2,0)</f>
        <v>13.8706872185556</v>
      </c>
      <c r="O51" s="84">
        <f t="shared" si="14"/>
        <v>884337.86476639588</v>
      </c>
    </row>
    <row r="52" spans="1:15" x14ac:dyDescent="0.3">
      <c r="A52" s="85"/>
      <c r="B52" s="79"/>
      <c r="C52" s="80" t="str">
        <f t="shared" si="11"/>
        <v>Julio</v>
      </c>
      <c r="D52" s="80">
        <f t="shared" si="7"/>
        <v>1993</v>
      </c>
      <c r="E52" s="97">
        <v>34151</v>
      </c>
      <c r="F52" s="97">
        <v>34181</v>
      </c>
      <c r="G52" s="81">
        <v>89070</v>
      </c>
      <c r="H52" s="98">
        <f t="shared" si="15"/>
        <v>4.2857142857142856</v>
      </c>
      <c r="I52" s="128">
        <f t="shared" si="6"/>
        <v>30</v>
      </c>
      <c r="J52" s="129" cm="1">
        <f t="array" ref="J52">INDEX(tc!$C$4:$C$15, MATCH(1, INDEX((tc!$A$4:$A$15&lt;=E52)*(tc!$B$4:$B$15&gt;=E52), 0), 0))</f>
        <v>6.5000000000000002E-2</v>
      </c>
      <c r="K52" s="82" t="str">
        <f t="shared" si="12"/>
        <v>Diciembre 2023</v>
      </c>
      <c r="L52" s="83">
        <f>VLOOKUP(K52,ipc!$C$2:$D$1048576,2,0)</f>
        <v>137.71610999999999</v>
      </c>
      <c r="M52" s="82" t="str">
        <f t="shared" si="13"/>
        <v>Julio 1993</v>
      </c>
      <c r="N52" s="83">
        <f>VLOOKUP(M52,ipc!$C$2:$D$1048576,2,0)</f>
        <v>14.041533540304799</v>
      </c>
      <c r="O52" s="84">
        <f t="shared" si="14"/>
        <v>873577.93808565242</v>
      </c>
    </row>
    <row r="53" spans="1:15" x14ac:dyDescent="0.3">
      <c r="A53" s="85"/>
      <c r="B53" s="79"/>
      <c r="C53" s="80" t="str">
        <f t="shared" si="11"/>
        <v>Agosto</v>
      </c>
      <c r="D53" s="80">
        <f t="shared" ref="D53:D76" si="16">IF(YEAR(E53)=YEAR(F53), YEAR(E53), "Rev")</f>
        <v>1993</v>
      </c>
      <c r="E53" s="97">
        <v>34182</v>
      </c>
      <c r="F53" s="97">
        <v>34212</v>
      </c>
      <c r="G53" s="81">
        <v>89070</v>
      </c>
      <c r="H53" s="98">
        <f t="shared" si="15"/>
        <v>4.2857142857142856</v>
      </c>
      <c r="I53" s="128">
        <f t="shared" si="6"/>
        <v>30</v>
      </c>
      <c r="J53" s="129" cm="1">
        <f t="array" ref="J53">INDEX(tc!$C$4:$C$15, MATCH(1, INDEX((tc!$A$4:$A$15&lt;=E53)*(tc!$B$4:$B$15&gt;=E53), 0), 0))</f>
        <v>6.5000000000000002E-2</v>
      </c>
      <c r="K53" s="82" t="str">
        <f t="shared" si="12"/>
        <v>Diciembre 2023</v>
      </c>
      <c r="L53" s="83">
        <f>VLOOKUP(K53,ipc!$C$2:$D$1048576,2,0)</f>
        <v>137.71610999999999</v>
      </c>
      <c r="M53" s="82" t="str">
        <f t="shared" si="13"/>
        <v>Agosto 1993</v>
      </c>
      <c r="N53" s="83">
        <f>VLOOKUP(M53,ipc!$C$2:$D$1048576,2,0)</f>
        <v>14.218328205998599</v>
      </c>
      <c r="O53" s="84">
        <f t="shared" si="14"/>
        <v>862715.62591479032</v>
      </c>
    </row>
    <row r="54" spans="1:15" x14ac:dyDescent="0.3">
      <c r="A54" s="85"/>
      <c r="B54" s="79"/>
      <c r="C54" s="80" t="str">
        <f t="shared" si="11"/>
        <v>Septiembre</v>
      </c>
      <c r="D54" s="80">
        <f t="shared" si="16"/>
        <v>1993</v>
      </c>
      <c r="E54" s="97">
        <v>34213</v>
      </c>
      <c r="F54" s="97">
        <v>34242</v>
      </c>
      <c r="G54" s="81">
        <v>89070</v>
      </c>
      <c r="H54" s="98">
        <f t="shared" si="15"/>
        <v>4.2857142857142856</v>
      </c>
      <c r="I54" s="128">
        <f t="shared" si="6"/>
        <v>30</v>
      </c>
      <c r="J54" s="129" cm="1">
        <f t="array" ref="J54">INDEX(tc!$C$4:$C$15, MATCH(1, INDEX((tc!$A$4:$A$15&lt;=E54)*(tc!$B$4:$B$15&gt;=E54), 0), 0))</f>
        <v>6.5000000000000002E-2</v>
      </c>
      <c r="K54" s="82" t="str">
        <f t="shared" si="12"/>
        <v>Diciembre 2023</v>
      </c>
      <c r="L54" s="83">
        <f>VLOOKUP(K54,ipc!$C$2:$D$1048576,2,0)</f>
        <v>137.71610999999999</v>
      </c>
      <c r="M54" s="82" t="str">
        <f t="shared" si="13"/>
        <v>Septiembre 1993</v>
      </c>
      <c r="N54" s="83">
        <f>VLOOKUP(M54,ipc!$C$2:$D$1048576,2,0)</f>
        <v>14.3785879832033</v>
      </c>
      <c r="O54" s="84">
        <f t="shared" si="14"/>
        <v>853100.0354158046</v>
      </c>
    </row>
    <row r="55" spans="1:15" x14ac:dyDescent="0.3">
      <c r="A55" s="85"/>
      <c r="B55" s="79"/>
      <c r="C55" s="80" t="str">
        <f t="shared" si="11"/>
        <v>Octubre</v>
      </c>
      <c r="D55" s="80">
        <f t="shared" si="16"/>
        <v>1993</v>
      </c>
      <c r="E55" s="97">
        <v>34243</v>
      </c>
      <c r="F55" s="97">
        <v>34273</v>
      </c>
      <c r="G55" s="81">
        <v>99630</v>
      </c>
      <c r="H55" s="98">
        <f t="shared" si="15"/>
        <v>4.2857142857142856</v>
      </c>
      <c r="I55" s="128">
        <f t="shared" si="6"/>
        <v>30</v>
      </c>
      <c r="J55" s="129" cm="1">
        <f t="array" ref="J55">INDEX(tc!$C$4:$C$15, MATCH(1, INDEX((tc!$A$4:$A$15&lt;=E55)*(tc!$B$4:$B$15&gt;=E55), 0), 0))</f>
        <v>6.5000000000000002E-2</v>
      </c>
      <c r="K55" s="82" t="str">
        <f t="shared" si="12"/>
        <v>Diciembre 2023</v>
      </c>
      <c r="L55" s="83">
        <f>VLOOKUP(K55,ipc!$C$2:$D$1048576,2,0)</f>
        <v>137.71610999999999</v>
      </c>
      <c r="M55" s="82" t="str">
        <f t="shared" si="13"/>
        <v>Octubre 1993</v>
      </c>
      <c r="N55" s="83">
        <f>VLOOKUP(M55,ipc!$C$2:$D$1048576,2,0)</f>
        <v>14.532294251689899</v>
      </c>
      <c r="O55" s="84">
        <f t="shared" si="14"/>
        <v>944149.34088638343</v>
      </c>
    </row>
    <row r="56" spans="1:15" x14ac:dyDescent="0.3">
      <c r="A56" s="85"/>
      <c r="B56" s="79"/>
      <c r="C56" s="80" t="str">
        <f t="shared" si="11"/>
        <v>Diciembre</v>
      </c>
      <c r="D56" s="80">
        <f t="shared" si="16"/>
        <v>1993</v>
      </c>
      <c r="E56" s="97">
        <v>34304</v>
      </c>
      <c r="F56" s="97">
        <v>34334</v>
      </c>
      <c r="G56" s="81">
        <v>99630</v>
      </c>
      <c r="H56" s="98">
        <f t="shared" si="15"/>
        <v>4.2857142857142856</v>
      </c>
      <c r="I56" s="128">
        <f t="shared" si="6"/>
        <v>30</v>
      </c>
      <c r="J56" s="129" cm="1">
        <f t="array" ref="J56">INDEX(tc!$C$4:$C$15, MATCH(1, INDEX((tc!$A$4:$A$15&lt;=E56)*(tc!$B$4:$B$15&gt;=E56), 0), 0))</f>
        <v>6.5000000000000002E-2</v>
      </c>
      <c r="K56" s="82" t="str">
        <f t="shared" si="12"/>
        <v>Diciembre 2023</v>
      </c>
      <c r="L56" s="83">
        <f>VLOOKUP(K56,ipc!$C$2:$D$1048576,2,0)</f>
        <v>137.71610999999999</v>
      </c>
      <c r="M56" s="82" t="str">
        <f t="shared" si="13"/>
        <v>Diciembre 1993</v>
      </c>
      <c r="N56" s="83">
        <f>VLOOKUP(M56,ipc!$C$2:$D$1048576,2,0)</f>
        <v>14.8867316513587</v>
      </c>
      <c r="O56" s="84">
        <f t="shared" si="14"/>
        <v>921670.13960030151</v>
      </c>
    </row>
    <row r="57" spans="1:15" x14ac:dyDescent="0.3">
      <c r="A57" s="85"/>
      <c r="B57" s="79"/>
      <c r="C57" s="80" t="str">
        <f t="shared" si="11"/>
        <v>Enero</v>
      </c>
      <c r="D57" s="80">
        <f t="shared" si="16"/>
        <v>1994</v>
      </c>
      <c r="E57" s="97">
        <v>34339</v>
      </c>
      <c r="F57" s="97">
        <v>34365</v>
      </c>
      <c r="G57" s="81">
        <v>107675</v>
      </c>
      <c r="H57" s="98">
        <f t="shared" si="15"/>
        <v>3.8571428571428572</v>
      </c>
      <c r="I57" s="128">
        <f>IF(AND(DAY(E57)=1, OR(F57=EOMONTH(F57,0), AND(MONTH(F57)=2, DAY(F57)&gt;=28))), 30, F57 - E57 + 1)</f>
        <v>27</v>
      </c>
      <c r="J57" s="129" cm="1">
        <f t="array" ref="J57">INDEX(tc!$C$4:$C$15, MATCH(1, INDEX((tc!$A$4:$A$15&lt;=E57)*(tc!$B$4:$B$15&gt;=E57), 0), 0))</f>
        <v>0.115</v>
      </c>
      <c r="K57" s="82" t="str">
        <f t="shared" si="12"/>
        <v>Diciembre 2023</v>
      </c>
      <c r="L57" s="83">
        <f>VLOOKUP(K57,ipc!$C$2:$D$1048576,2,0)</f>
        <v>137.71610999999999</v>
      </c>
      <c r="M57" s="82" t="str">
        <f t="shared" si="13"/>
        <v>Enero 1994</v>
      </c>
      <c r="N57" s="83">
        <f>VLOOKUP(M57,ipc!$C$2:$D$1048576,2,0)</f>
        <v>15.356210385875499</v>
      </c>
      <c r="O57" s="84">
        <f t="shared" si="14"/>
        <v>965640.72591042332</v>
      </c>
    </row>
    <row r="58" spans="1:15" x14ac:dyDescent="0.3">
      <c r="A58" s="85"/>
      <c r="B58" s="79"/>
      <c r="C58" s="80" t="str">
        <f t="shared" si="11"/>
        <v>Mayo</v>
      </c>
      <c r="D58" s="80">
        <f t="shared" si="16"/>
        <v>1997</v>
      </c>
      <c r="E58" s="97">
        <v>35551</v>
      </c>
      <c r="F58" s="97">
        <v>35581</v>
      </c>
      <c r="G58" s="81">
        <v>172005</v>
      </c>
      <c r="H58" s="98">
        <f t="shared" si="15"/>
        <v>4.2857142857142856</v>
      </c>
      <c r="I58" s="128">
        <f t="shared" si="6"/>
        <v>30</v>
      </c>
      <c r="J58" s="129" cm="1">
        <f t="array" ref="J58">INDEX(tc!$C$4:$C$15, MATCH(1, INDEX((tc!$A$4:$A$15&lt;=E58)*(tc!$B$4:$B$15&gt;=E58), 0), 0))</f>
        <v>0.13500000000000001</v>
      </c>
      <c r="K58" s="82" t="str">
        <f t="shared" si="12"/>
        <v>Diciembre 2023</v>
      </c>
      <c r="L58" s="83">
        <f>VLOOKUP(K58,ipc!$C$2:$D$1048576,2,0)</f>
        <v>137.71610999999999</v>
      </c>
      <c r="M58" s="82" t="str">
        <f t="shared" si="13"/>
        <v>Mayo 1997</v>
      </c>
      <c r="N58" s="83">
        <f>VLOOKUP(M58,ipc!$C$2:$D$1048576,2,0)</f>
        <v>29.158439997172799</v>
      </c>
      <c r="O58" s="84">
        <f t="shared" si="14"/>
        <v>812384.32175544277</v>
      </c>
    </row>
    <row r="59" spans="1:15" x14ac:dyDescent="0.3">
      <c r="A59" s="85"/>
      <c r="B59" s="79"/>
      <c r="C59" s="80" t="str">
        <f t="shared" si="11"/>
        <v>Junio</v>
      </c>
      <c r="D59" s="80">
        <f t="shared" si="16"/>
        <v>1997</v>
      </c>
      <c r="E59" s="97">
        <v>35582</v>
      </c>
      <c r="F59" s="97">
        <v>35611</v>
      </c>
      <c r="G59" s="81">
        <v>172005</v>
      </c>
      <c r="H59" s="98">
        <f t="shared" si="15"/>
        <v>4.2857142857142856</v>
      </c>
      <c r="I59" s="128">
        <f t="shared" si="6"/>
        <v>30</v>
      </c>
      <c r="J59" s="129" cm="1">
        <f t="array" ref="J59">INDEX(tc!$C$4:$C$15, MATCH(1, INDEX((tc!$A$4:$A$15&lt;=E59)*(tc!$B$4:$B$15&gt;=E59), 0), 0))</f>
        <v>0.13500000000000001</v>
      </c>
      <c r="K59" s="82" t="str">
        <f t="shared" si="12"/>
        <v>Diciembre 2023</v>
      </c>
      <c r="L59" s="83">
        <f>VLOOKUP(K59,ipc!$C$2:$D$1048576,2,0)</f>
        <v>137.71610999999999</v>
      </c>
      <c r="M59" s="82" t="str">
        <f t="shared" si="13"/>
        <v>Junio 1997</v>
      </c>
      <c r="N59" s="83">
        <f>VLOOKUP(M59,ipc!$C$2:$D$1048576,2,0)</f>
        <v>29.509228958235799</v>
      </c>
      <c r="O59" s="84">
        <f t="shared" si="14"/>
        <v>802727.15814009425</v>
      </c>
    </row>
    <row r="60" spans="1:15" x14ac:dyDescent="0.3">
      <c r="A60" s="85"/>
      <c r="B60" s="79"/>
      <c r="C60" s="80" t="str">
        <f t="shared" si="11"/>
        <v>Julio</v>
      </c>
      <c r="D60" s="80">
        <f t="shared" si="16"/>
        <v>1997</v>
      </c>
      <c r="E60" s="97">
        <v>35612</v>
      </c>
      <c r="F60" s="97">
        <v>35642</v>
      </c>
      <c r="G60" s="81">
        <v>172005</v>
      </c>
      <c r="H60" s="98">
        <f t="shared" si="15"/>
        <v>4.2857142857142856</v>
      </c>
      <c r="I60" s="128">
        <f t="shared" si="6"/>
        <v>30</v>
      </c>
      <c r="J60" s="129" cm="1">
        <f t="array" ref="J60">INDEX(tc!$C$4:$C$15, MATCH(1, INDEX((tc!$A$4:$A$15&lt;=E60)*(tc!$B$4:$B$15&gt;=E60), 0), 0))</f>
        <v>0.13500000000000001</v>
      </c>
      <c r="K60" s="82" t="str">
        <f t="shared" si="12"/>
        <v>Diciembre 2023</v>
      </c>
      <c r="L60" s="83">
        <f>VLOOKUP(K60,ipc!$C$2:$D$1048576,2,0)</f>
        <v>137.71610999999999</v>
      </c>
      <c r="M60" s="82" t="str">
        <f t="shared" si="13"/>
        <v>Julio 1997</v>
      </c>
      <c r="N60" s="83">
        <f>VLOOKUP(M60,ipc!$C$2:$D$1048576,2,0)</f>
        <v>29.755750890614799</v>
      </c>
      <c r="O60" s="84">
        <f t="shared" si="14"/>
        <v>796076.68405442045</v>
      </c>
    </row>
    <row r="61" spans="1:15" x14ac:dyDescent="0.3">
      <c r="A61" s="85"/>
      <c r="B61" s="79"/>
      <c r="C61" s="80" t="str">
        <f t="shared" si="11"/>
        <v>Agosto</v>
      </c>
      <c r="D61" s="80">
        <f t="shared" si="16"/>
        <v>1997</v>
      </c>
      <c r="E61" s="97">
        <v>35643</v>
      </c>
      <c r="F61" s="97">
        <v>35673</v>
      </c>
      <c r="G61" s="81">
        <v>172005</v>
      </c>
      <c r="H61" s="98">
        <f t="shared" si="15"/>
        <v>4.2857142857142856</v>
      </c>
      <c r="I61" s="128">
        <f t="shared" si="6"/>
        <v>30</v>
      </c>
      <c r="J61" s="129" cm="1">
        <f t="array" ref="J61">INDEX(tc!$C$4:$C$15, MATCH(1, INDEX((tc!$A$4:$A$15&lt;=E61)*(tc!$B$4:$B$15&gt;=E61), 0), 0))</f>
        <v>0.13500000000000001</v>
      </c>
      <c r="K61" s="82" t="str">
        <f t="shared" si="12"/>
        <v>Diciembre 2023</v>
      </c>
      <c r="L61" s="83">
        <f>VLOOKUP(K61,ipc!$C$2:$D$1048576,2,0)</f>
        <v>137.71610999999999</v>
      </c>
      <c r="M61" s="82" t="str">
        <f t="shared" si="13"/>
        <v>Agosto 1997</v>
      </c>
      <c r="N61" s="83">
        <f>VLOOKUP(M61,ipc!$C$2:$D$1048576,2,0)</f>
        <v>30.097626409742499</v>
      </c>
      <c r="O61" s="84">
        <f t="shared" si="14"/>
        <v>787034.13943905954</v>
      </c>
    </row>
    <row r="62" spans="1:15" x14ac:dyDescent="0.3">
      <c r="A62" s="85"/>
      <c r="B62" s="79"/>
      <c r="C62" s="80" t="str">
        <f t="shared" si="11"/>
        <v>Septiembre</v>
      </c>
      <c r="D62" s="80">
        <f t="shared" si="16"/>
        <v>1997</v>
      </c>
      <c r="E62" s="97">
        <v>35674</v>
      </c>
      <c r="F62" s="97">
        <v>35703</v>
      </c>
      <c r="G62" s="81">
        <v>172005</v>
      </c>
      <c r="H62" s="98">
        <f t="shared" si="15"/>
        <v>4.2857142857142856</v>
      </c>
      <c r="I62" s="128">
        <f t="shared" si="6"/>
        <v>30</v>
      </c>
      <c r="J62" s="129" cm="1">
        <f t="array" ref="J62">INDEX(tc!$C$4:$C$15, MATCH(1, INDEX((tc!$A$4:$A$15&lt;=E62)*(tc!$B$4:$B$15&gt;=E62), 0), 0))</f>
        <v>0.13500000000000001</v>
      </c>
      <c r="K62" s="82" t="str">
        <f t="shared" si="12"/>
        <v>Diciembre 2023</v>
      </c>
      <c r="L62" s="83">
        <f>VLOOKUP(K62,ipc!$C$2:$D$1048576,2,0)</f>
        <v>137.71610999999999</v>
      </c>
      <c r="M62" s="82" t="str">
        <f t="shared" si="13"/>
        <v>Septiembre 1997</v>
      </c>
      <c r="N62" s="83">
        <f>VLOOKUP(M62,ipc!$C$2:$D$1048576,2,0)</f>
        <v>30.476847645182399</v>
      </c>
      <c r="O62" s="84">
        <f t="shared" si="14"/>
        <v>777241.12993341149</v>
      </c>
    </row>
    <row r="63" spans="1:15" x14ac:dyDescent="0.3">
      <c r="A63" s="85"/>
      <c r="B63" s="79"/>
      <c r="C63" s="80" t="str">
        <f t="shared" si="11"/>
        <v>Octubre</v>
      </c>
      <c r="D63" s="80">
        <f t="shared" si="16"/>
        <v>1997</v>
      </c>
      <c r="E63" s="97">
        <v>35704</v>
      </c>
      <c r="F63" s="97">
        <v>35734</v>
      </c>
      <c r="G63" s="81">
        <v>172005</v>
      </c>
      <c r="H63" s="98">
        <f t="shared" si="15"/>
        <v>4.2857142857142856</v>
      </c>
      <c r="I63" s="128">
        <f t="shared" si="6"/>
        <v>30</v>
      </c>
      <c r="J63" s="129" cm="1">
        <f t="array" ref="J63">INDEX(tc!$C$4:$C$15, MATCH(1, INDEX((tc!$A$4:$A$15&lt;=E63)*(tc!$B$4:$B$15&gt;=E63), 0), 0))</f>
        <v>0.13500000000000001</v>
      </c>
      <c r="K63" s="82" t="str">
        <f t="shared" si="12"/>
        <v>Diciembre 2023</v>
      </c>
      <c r="L63" s="83">
        <f>VLOOKUP(K63,ipc!$C$2:$D$1048576,2,0)</f>
        <v>137.71610999999999</v>
      </c>
      <c r="M63" s="82" t="str">
        <f t="shared" si="13"/>
        <v>Octubre 1997</v>
      </c>
      <c r="N63" s="83">
        <f>VLOOKUP(M63,ipc!$C$2:$D$1048576,2,0)</f>
        <v>30.771236226550901</v>
      </c>
      <c r="O63" s="84">
        <f t="shared" si="14"/>
        <v>769805.25989108533</v>
      </c>
    </row>
    <row r="64" spans="1:15" x14ac:dyDescent="0.3">
      <c r="A64" s="85"/>
      <c r="B64" s="79"/>
      <c r="C64" s="80" t="str">
        <f t="shared" si="11"/>
        <v>Noviembre</v>
      </c>
      <c r="D64" s="80">
        <f t="shared" si="16"/>
        <v>1997</v>
      </c>
      <c r="E64" s="97">
        <v>35735</v>
      </c>
      <c r="F64" s="97">
        <v>35764</v>
      </c>
      <c r="G64" s="81">
        <v>172005</v>
      </c>
      <c r="H64" s="98">
        <f t="shared" si="15"/>
        <v>4.2857142857142856</v>
      </c>
      <c r="I64" s="128">
        <f t="shared" si="6"/>
        <v>30</v>
      </c>
      <c r="J64" s="129" cm="1">
        <f t="array" ref="J64">INDEX(tc!$C$4:$C$15, MATCH(1, INDEX((tc!$A$4:$A$15&lt;=E64)*(tc!$B$4:$B$15&gt;=E64), 0), 0))</f>
        <v>0.13500000000000001</v>
      </c>
      <c r="K64" s="82" t="str">
        <f t="shared" si="12"/>
        <v>Diciembre 2023</v>
      </c>
      <c r="L64" s="83">
        <f>VLOOKUP(K64,ipc!$C$2:$D$1048576,2,0)</f>
        <v>137.71610999999999</v>
      </c>
      <c r="M64" s="82" t="str">
        <f t="shared" si="13"/>
        <v>Noviembre 1997</v>
      </c>
      <c r="N64" s="83">
        <f>VLOOKUP(M64,ipc!$C$2:$D$1048576,2,0)</f>
        <v>31.0214240475003</v>
      </c>
      <c r="O64" s="84">
        <f t="shared" si="14"/>
        <v>763596.77957655722</v>
      </c>
    </row>
    <row r="65" spans="1:16" x14ac:dyDescent="0.3">
      <c r="A65" s="85"/>
      <c r="B65" s="79"/>
      <c r="C65" s="80" t="str">
        <f t="shared" si="11"/>
        <v>Diciembre</v>
      </c>
      <c r="D65" s="80">
        <f t="shared" si="16"/>
        <v>1997</v>
      </c>
      <c r="E65" s="97">
        <v>35765</v>
      </c>
      <c r="F65" s="97">
        <v>35795</v>
      </c>
      <c r="G65" s="81">
        <v>172005</v>
      </c>
      <c r="H65" s="98">
        <f t="shared" si="15"/>
        <v>4.2857142857142856</v>
      </c>
      <c r="I65" s="128">
        <f t="shared" si="6"/>
        <v>30</v>
      </c>
      <c r="J65" s="129" cm="1">
        <f t="array" ref="J65">INDEX(tc!$C$4:$C$15, MATCH(1, INDEX((tc!$A$4:$A$15&lt;=E65)*(tc!$B$4:$B$15&gt;=E65), 0), 0))</f>
        <v>0.13500000000000001</v>
      </c>
      <c r="K65" s="82" t="str">
        <f t="shared" si="12"/>
        <v>Diciembre 2023</v>
      </c>
      <c r="L65" s="83">
        <f>VLOOKUP(K65,ipc!$C$2:$D$1048576,2,0)</f>
        <v>137.71610999999999</v>
      </c>
      <c r="M65" s="82" t="str">
        <f t="shared" si="13"/>
        <v>Diciembre 1997</v>
      </c>
      <c r="N65" s="83">
        <f>VLOOKUP(M65,ipc!$C$2:$D$1048576,2,0)</f>
        <v>31.211627964017801</v>
      </c>
      <c r="O65" s="84">
        <f t="shared" si="14"/>
        <v>758943.41454596503</v>
      </c>
    </row>
    <row r="66" spans="1:16" x14ac:dyDescent="0.3">
      <c r="A66" s="85"/>
      <c r="B66" s="79"/>
      <c r="C66" s="80" t="str">
        <f t="shared" si="11"/>
        <v>Enero</v>
      </c>
      <c r="D66" s="80">
        <f t="shared" si="16"/>
        <v>1998</v>
      </c>
      <c r="E66" s="97">
        <v>35796</v>
      </c>
      <c r="F66" s="97">
        <v>35826</v>
      </c>
      <c r="G66" s="81">
        <v>203826</v>
      </c>
      <c r="H66" s="98">
        <f t="shared" si="15"/>
        <v>4.2857142857142856</v>
      </c>
      <c r="I66" s="128">
        <f t="shared" si="6"/>
        <v>30</v>
      </c>
      <c r="J66" s="129" cm="1">
        <f t="array" ref="J66">INDEX(tc!$C$4:$C$15, MATCH(1, INDEX((tc!$A$4:$A$15&lt;=E66)*(tc!$B$4:$B$15&gt;=E66), 0), 0))</f>
        <v>0.13500000000000001</v>
      </c>
      <c r="K66" s="82" t="str">
        <f t="shared" si="12"/>
        <v>Diciembre 2023</v>
      </c>
      <c r="L66" s="83">
        <f>VLOOKUP(K66,ipc!$C$2:$D$1048576,2,0)</f>
        <v>137.71610999999999</v>
      </c>
      <c r="M66" s="82" t="str">
        <f t="shared" si="13"/>
        <v>Enero 1998</v>
      </c>
      <c r="N66" s="83">
        <f>VLOOKUP(M66,ipc!$C$2:$D$1048576,2,0)</f>
        <v>31.771346747646898</v>
      </c>
      <c r="O66" s="84">
        <f t="shared" si="14"/>
        <v>883504.37454902579</v>
      </c>
    </row>
    <row r="67" spans="1:16" x14ac:dyDescent="0.3">
      <c r="A67" s="85"/>
      <c r="B67" s="79"/>
      <c r="C67" s="80" t="str">
        <f t="shared" si="11"/>
        <v>Febrero</v>
      </c>
      <c r="D67" s="80">
        <f t="shared" si="16"/>
        <v>1998</v>
      </c>
      <c r="E67" s="97">
        <v>35827</v>
      </c>
      <c r="F67" s="97">
        <v>35854</v>
      </c>
      <c r="G67" s="81">
        <v>203826</v>
      </c>
      <c r="H67" s="98">
        <f t="shared" si="15"/>
        <v>4.2857142857142856</v>
      </c>
      <c r="I67" s="128">
        <f t="shared" si="6"/>
        <v>30</v>
      </c>
      <c r="J67" s="129" cm="1">
        <f t="array" ref="J67">INDEX(tc!$C$4:$C$15, MATCH(1, INDEX((tc!$A$4:$A$15&lt;=E67)*(tc!$B$4:$B$15&gt;=E67), 0), 0))</f>
        <v>0.13500000000000001</v>
      </c>
      <c r="K67" s="82" t="str">
        <f t="shared" si="12"/>
        <v>Diciembre 2023</v>
      </c>
      <c r="L67" s="83">
        <f>VLOOKUP(K67,ipc!$C$2:$D$1048576,2,0)</f>
        <v>137.71610999999999</v>
      </c>
      <c r="M67" s="82" t="str">
        <f t="shared" si="13"/>
        <v>Febrero 1998</v>
      </c>
      <c r="N67" s="83">
        <f>VLOOKUP(M67,ipc!$C$2:$D$1048576,2,0)</f>
        <v>32.8148832507324</v>
      </c>
      <c r="O67" s="84">
        <f t="shared" si="14"/>
        <v>855408.31038103718</v>
      </c>
    </row>
    <row r="68" spans="1:16" x14ac:dyDescent="0.3">
      <c r="A68" s="85"/>
      <c r="B68" s="79"/>
      <c r="C68" s="80" t="str">
        <f t="shared" si="11"/>
        <v>Marzo</v>
      </c>
      <c r="D68" s="80">
        <f t="shared" si="16"/>
        <v>1998</v>
      </c>
      <c r="E68" s="97">
        <v>35855</v>
      </c>
      <c r="F68" s="97">
        <v>35885</v>
      </c>
      <c r="G68" s="81">
        <v>203826</v>
      </c>
      <c r="H68" s="98">
        <f t="shared" si="15"/>
        <v>4.2857142857142856</v>
      </c>
      <c r="I68" s="128">
        <f t="shared" si="6"/>
        <v>30</v>
      </c>
      <c r="J68" s="129" cm="1">
        <f t="array" ref="J68">INDEX(tc!$C$4:$C$15, MATCH(1, INDEX((tc!$A$4:$A$15&lt;=E68)*(tc!$B$4:$B$15&gt;=E68), 0), 0))</f>
        <v>0.13500000000000001</v>
      </c>
      <c r="K68" s="82" t="str">
        <f t="shared" si="12"/>
        <v>Diciembre 2023</v>
      </c>
      <c r="L68" s="83">
        <f>VLOOKUP(K68,ipc!$C$2:$D$1048576,2,0)</f>
        <v>137.71610999999999</v>
      </c>
      <c r="M68" s="82" t="str">
        <f t="shared" si="13"/>
        <v>Marzo 1998</v>
      </c>
      <c r="N68" s="83">
        <f>VLOOKUP(M68,ipc!$C$2:$D$1048576,2,0)</f>
        <v>33.668578098566101</v>
      </c>
      <c r="O68" s="84">
        <f t="shared" si="14"/>
        <v>833718.72000901238</v>
      </c>
    </row>
    <row r="69" spans="1:16" x14ac:dyDescent="0.3">
      <c r="A69" s="85"/>
      <c r="B69" s="79"/>
      <c r="C69" s="80" t="str">
        <f t="shared" si="11"/>
        <v>Abril</v>
      </c>
      <c r="D69" s="80">
        <f t="shared" si="16"/>
        <v>1998</v>
      </c>
      <c r="E69" s="97">
        <v>35886</v>
      </c>
      <c r="F69" s="97">
        <v>35915</v>
      </c>
      <c r="G69" s="81">
        <v>203826</v>
      </c>
      <c r="H69" s="98">
        <f t="shared" si="15"/>
        <v>4.2857142857142856</v>
      </c>
      <c r="I69" s="128">
        <f t="shared" si="6"/>
        <v>30</v>
      </c>
      <c r="J69" s="129" cm="1">
        <f t="array" ref="J69">INDEX(tc!$C$4:$C$15, MATCH(1, INDEX((tc!$A$4:$A$15&lt;=E69)*(tc!$B$4:$B$15&gt;=E69), 0), 0))</f>
        <v>0.13500000000000001</v>
      </c>
      <c r="K69" s="82" t="str">
        <f t="shared" si="12"/>
        <v>Diciembre 2023</v>
      </c>
      <c r="L69" s="83">
        <f>VLOOKUP(K69,ipc!$C$2:$D$1048576,2,0)</f>
        <v>137.71610999999999</v>
      </c>
      <c r="M69" s="82" t="str">
        <f t="shared" si="13"/>
        <v>Abril 1998</v>
      </c>
      <c r="N69" s="83">
        <f>VLOOKUP(M69,ipc!$C$2:$D$1048576,2,0)</f>
        <v>34.646425256782798</v>
      </c>
      <c r="O69" s="84">
        <f t="shared" si="14"/>
        <v>810188.16887507471</v>
      </c>
    </row>
    <row r="70" spans="1:16" x14ac:dyDescent="0.3">
      <c r="A70" s="85"/>
      <c r="B70" s="79"/>
      <c r="C70" s="80" t="str">
        <f t="shared" si="11"/>
        <v>Mayo</v>
      </c>
      <c r="D70" s="80">
        <f t="shared" si="16"/>
        <v>1998</v>
      </c>
      <c r="E70" s="97">
        <v>35916</v>
      </c>
      <c r="F70" s="97">
        <v>35928</v>
      </c>
      <c r="G70" s="81">
        <v>89324</v>
      </c>
      <c r="H70" s="98">
        <f t="shared" si="15"/>
        <v>1.8571428571428572</v>
      </c>
      <c r="I70" s="128">
        <f t="shared" si="6"/>
        <v>13</v>
      </c>
      <c r="J70" s="129" cm="1">
        <f t="array" ref="J70">INDEX(tc!$C$4:$C$15, MATCH(1, INDEX((tc!$A$4:$A$15&lt;=E70)*(tc!$B$4:$B$15&gt;=E70), 0), 0))</f>
        <v>0.13500000000000001</v>
      </c>
      <c r="K70" s="82" t="str">
        <f t="shared" si="12"/>
        <v>Diciembre 2023</v>
      </c>
      <c r="L70" s="83">
        <f>VLOOKUP(K70,ipc!$C$2:$D$1048576,2,0)</f>
        <v>137.71610999999999</v>
      </c>
      <c r="M70" s="82" t="str">
        <f t="shared" si="13"/>
        <v>Mayo 1998</v>
      </c>
      <c r="N70" s="83">
        <f>VLOOKUP(M70,ipc!$C$2:$D$1048576,2,0)</f>
        <v>35.187817389554198</v>
      </c>
      <c r="O70" s="84">
        <f t="shared" si="14"/>
        <v>349591.2711338487</v>
      </c>
    </row>
    <row r="71" spans="1:16" x14ac:dyDescent="0.3">
      <c r="A71" s="85"/>
      <c r="B71" s="79"/>
      <c r="C71" s="80" t="str">
        <f t="shared" si="11"/>
        <v>Junio</v>
      </c>
      <c r="D71" s="80">
        <f t="shared" si="16"/>
        <v>1998</v>
      </c>
      <c r="E71" s="97">
        <v>35947</v>
      </c>
      <c r="F71" s="97">
        <v>35976</v>
      </c>
      <c r="G71" s="81">
        <v>203826</v>
      </c>
      <c r="H71" s="98">
        <f t="shared" si="15"/>
        <v>4.2857142857142856</v>
      </c>
      <c r="I71" s="128">
        <f t="shared" si="6"/>
        <v>30</v>
      </c>
      <c r="J71" s="129" cm="1">
        <f t="array" ref="J71">INDEX(tc!$C$4:$C$15, MATCH(1, INDEX((tc!$A$4:$A$15&lt;=E71)*(tc!$B$4:$B$15&gt;=E71), 0), 0))</f>
        <v>0.13500000000000001</v>
      </c>
      <c r="K71" s="82" t="str">
        <f t="shared" si="12"/>
        <v>Diciembre 2023</v>
      </c>
      <c r="L71" s="83">
        <f>VLOOKUP(K71,ipc!$C$2:$D$1048576,2,0)</f>
        <v>137.71610999999999</v>
      </c>
      <c r="M71" s="82" t="str">
        <f t="shared" si="13"/>
        <v>Junio 1998</v>
      </c>
      <c r="N71" s="83">
        <f>VLOOKUP(M71,ipc!$C$2:$D$1048576,2,0)</f>
        <v>35.617466928792098</v>
      </c>
      <c r="O71" s="84">
        <f t="shared" si="14"/>
        <v>788099.948067024</v>
      </c>
    </row>
    <row r="72" spans="1:16" x14ac:dyDescent="0.3">
      <c r="A72" s="85"/>
      <c r="B72" s="79"/>
      <c r="C72" s="80" t="str">
        <f t="shared" si="11"/>
        <v>Agosto</v>
      </c>
      <c r="D72" s="80">
        <f t="shared" si="16"/>
        <v>1998</v>
      </c>
      <c r="E72" s="97">
        <v>36008</v>
      </c>
      <c r="F72" s="97">
        <v>36038</v>
      </c>
      <c r="G72" s="81">
        <v>203826</v>
      </c>
      <c r="H72" s="98">
        <f t="shared" si="15"/>
        <v>4.2857142857142856</v>
      </c>
      <c r="I72" s="128">
        <f t="shared" si="6"/>
        <v>30</v>
      </c>
      <c r="J72" s="129" cm="1">
        <f t="array" ref="J72">INDEX(tc!$C$4:$C$15, MATCH(1, INDEX((tc!$A$4:$A$15&lt;=E72)*(tc!$B$4:$B$15&gt;=E72), 0), 0))</f>
        <v>0.13500000000000001</v>
      </c>
      <c r="K72" s="82" t="str">
        <f t="shared" si="12"/>
        <v>Diciembre 2023</v>
      </c>
      <c r="L72" s="83">
        <f>VLOOKUP(K72,ipc!$C$2:$D$1048576,2,0)</f>
        <v>137.71610999999999</v>
      </c>
      <c r="M72" s="82" t="str">
        <f t="shared" si="13"/>
        <v>Agosto 1998</v>
      </c>
      <c r="N72" s="83">
        <f>VLOOKUP(M72,ipc!$C$2:$D$1048576,2,0)</f>
        <v>35.799375830121001</v>
      </c>
      <c r="O72" s="84">
        <f t="shared" si="14"/>
        <v>784095.34205460257</v>
      </c>
    </row>
    <row r="73" spans="1:16" x14ac:dyDescent="0.3">
      <c r="A73" s="85"/>
      <c r="B73" s="79"/>
      <c r="C73" s="80" t="str">
        <f t="shared" si="11"/>
        <v>Septiembre</v>
      </c>
      <c r="D73" s="80">
        <f t="shared" si="16"/>
        <v>1998</v>
      </c>
      <c r="E73" s="97">
        <v>36039</v>
      </c>
      <c r="F73" s="97">
        <v>36060</v>
      </c>
      <c r="G73" s="81">
        <v>149472</v>
      </c>
      <c r="H73" s="98">
        <f t="shared" si="15"/>
        <v>3.1428571428571428</v>
      </c>
      <c r="I73" s="128">
        <f t="shared" si="6"/>
        <v>22</v>
      </c>
      <c r="J73" s="129" cm="1">
        <f t="array" ref="J73">INDEX(tc!$C$4:$C$15, MATCH(1, INDEX((tc!$A$4:$A$15&lt;=E73)*(tc!$B$4:$B$15&gt;=E73), 0), 0))</f>
        <v>0.13500000000000001</v>
      </c>
      <c r="K73" s="82" t="str">
        <f t="shared" si="12"/>
        <v>Diciembre 2023</v>
      </c>
      <c r="L73" s="83">
        <f>VLOOKUP(K73,ipc!$C$2:$D$1048576,2,0)</f>
        <v>137.71610999999999</v>
      </c>
      <c r="M73" s="82" t="str">
        <f t="shared" si="13"/>
        <v>Septiembre 1998</v>
      </c>
      <c r="N73" s="83">
        <f>VLOOKUP(M73,ipc!$C$2:$D$1048576,2,0)</f>
        <v>35.9031989317048</v>
      </c>
      <c r="O73" s="84">
        <f t="shared" si="14"/>
        <v>573338.95046723541</v>
      </c>
    </row>
    <row r="74" spans="1:16" x14ac:dyDescent="0.3">
      <c r="A74" s="85"/>
      <c r="B74" s="79"/>
      <c r="C74" s="80" t="str">
        <f t="shared" si="11"/>
        <v>Octubre</v>
      </c>
      <c r="D74" s="80">
        <f t="shared" si="16"/>
        <v>1998</v>
      </c>
      <c r="E74" s="97">
        <v>36069</v>
      </c>
      <c r="F74" s="97">
        <v>36084</v>
      </c>
      <c r="G74" s="81">
        <v>108707</v>
      </c>
      <c r="H74" s="98">
        <f t="shared" si="15"/>
        <v>2.2857142857142856</v>
      </c>
      <c r="I74" s="128">
        <f t="shared" si="6"/>
        <v>16</v>
      </c>
      <c r="J74" s="129" cm="1">
        <f t="array" ref="J74">INDEX(tc!$C$4:$C$15, MATCH(1, INDEX((tc!$A$4:$A$15&lt;=E74)*(tc!$B$4:$B$15&gt;=E74), 0), 0))</f>
        <v>0.13500000000000001</v>
      </c>
      <c r="K74" s="82" t="str">
        <f t="shared" si="12"/>
        <v>Diciembre 2023</v>
      </c>
      <c r="L74" s="83">
        <f>VLOOKUP(K74,ipc!$C$2:$D$1048576,2,0)</f>
        <v>137.71610999999999</v>
      </c>
      <c r="M74" s="82" t="str">
        <f t="shared" si="13"/>
        <v>Octubre 1998</v>
      </c>
      <c r="N74" s="83">
        <f>VLOOKUP(M74,ipc!$C$2:$D$1048576,2,0)</f>
        <v>36.031306102072499</v>
      </c>
      <c r="O74" s="84">
        <f t="shared" si="14"/>
        <v>415491.60408894788</v>
      </c>
    </row>
    <row r="75" spans="1:16" x14ac:dyDescent="0.3">
      <c r="A75" s="85"/>
      <c r="B75" s="79"/>
      <c r="C75" s="80" t="str">
        <f t="shared" ref="C75:C76" si="17">IF(MONTH(E75)=MONTH(F75), PROPER(TEXT(E75, "mmmm")), "Rev")</f>
        <v>Diciembre</v>
      </c>
      <c r="D75" s="80">
        <f t="shared" si="16"/>
        <v>1998</v>
      </c>
      <c r="E75" s="97">
        <v>36130</v>
      </c>
      <c r="F75" s="97">
        <v>36132</v>
      </c>
      <c r="G75" s="81">
        <v>35800</v>
      </c>
      <c r="H75" s="98">
        <f t="shared" si="15"/>
        <v>0.42857142857142855</v>
      </c>
      <c r="I75" s="128">
        <f t="shared" ref="I75:I76" si="18">IF(AND(DAY(E75)=1, OR(F75=EOMONTH(F75,0), AND(MONTH(F75)=2, DAY(F75)&gt;=28))), 30, F75 - E75 + 1)</f>
        <v>3</v>
      </c>
      <c r="J75" s="129" cm="1">
        <f t="array" ref="J75">INDEX(tc!$C$4:$C$15, MATCH(1, INDEX((tc!$A$4:$A$15&lt;=E75)*(tc!$B$4:$B$15&gt;=E75), 0), 0))</f>
        <v>0.13500000000000001</v>
      </c>
      <c r="K75" s="82" t="str">
        <f t="shared" si="12"/>
        <v>Diciembre 2023</v>
      </c>
      <c r="L75" s="83">
        <f>VLOOKUP(K75,ipc!$C$2:$D$1048576,2,0)</f>
        <v>137.71610999999999</v>
      </c>
      <c r="M75" s="82" t="str">
        <f t="shared" si="13"/>
        <v>Diciembre 1998</v>
      </c>
      <c r="N75" s="83">
        <f>VLOOKUP(M75,ipc!$C$2:$D$1048576,2,0)</f>
        <v>36.424926350330203</v>
      </c>
      <c r="O75" s="84">
        <f t="shared" ref="O75:O76" si="19">G75*(L75/N75)</f>
        <v>135353.37561376579</v>
      </c>
    </row>
    <row r="76" spans="1:16" x14ac:dyDescent="0.3">
      <c r="A76" s="85"/>
      <c r="B76" s="79"/>
      <c r="C76" s="80" t="str">
        <f t="shared" si="17"/>
        <v>Mayo</v>
      </c>
      <c r="D76" s="80">
        <f t="shared" si="16"/>
        <v>2004</v>
      </c>
      <c r="E76" s="97">
        <v>38108</v>
      </c>
      <c r="F76" s="97">
        <v>38110</v>
      </c>
      <c r="G76" s="81">
        <v>35800</v>
      </c>
      <c r="H76" s="98">
        <f t="shared" si="15"/>
        <v>0.42857142857142855</v>
      </c>
      <c r="I76" s="128">
        <f t="shared" si="18"/>
        <v>3</v>
      </c>
      <c r="J76" s="129" cm="1">
        <f t="array" ref="J76">INDEX(tc!$C$4:$C$15, MATCH(1, INDEX((tc!$A$4:$A$15&lt;=E76)*(tc!$B$4:$B$15&gt;=E76), 0), 0))</f>
        <v>0.14499999999999999</v>
      </c>
      <c r="K76" s="82" t="str">
        <f t="shared" si="12"/>
        <v>Diciembre 2023</v>
      </c>
      <c r="L76" s="83">
        <f>VLOOKUP(K76,ipc!$C$2:$D$1048576,2,0)</f>
        <v>137.71610999999999</v>
      </c>
      <c r="M76" s="82" t="str">
        <f t="shared" si="13"/>
        <v>Mayo 2004</v>
      </c>
      <c r="N76" s="83">
        <f>VLOOKUP(M76,ipc!$C$2:$D$1048576,2,0)</f>
        <v>55.172833314322098</v>
      </c>
      <c r="O76" s="84">
        <f t="shared" si="19"/>
        <v>89359.8613997621</v>
      </c>
    </row>
    <row r="77" spans="1:16" x14ac:dyDescent="0.3">
      <c r="A77" s="63"/>
      <c r="B77" s="63"/>
      <c r="C77" s="63"/>
      <c r="D77" s="63"/>
      <c r="G77" s="65"/>
      <c r="H77" s="66"/>
      <c r="I77" s="76"/>
      <c r="J77" s="76"/>
      <c r="K77" s="76"/>
      <c r="L77" s="76"/>
      <c r="M77" s="67"/>
      <c r="N77" s="68"/>
      <c r="O77" s="69"/>
      <c r="P77" s="70"/>
    </row>
    <row r="78" spans="1:16" x14ac:dyDescent="0.3">
      <c r="A78" s="63"/>
      <c r="B78" s="63"/>
      <c r="C78" s="63"/>
      <c r="D78" s="63"/>
      <c r="G78" s="65"/>
      <c r="H78" s="66"/>
      <c r="I78" s="76"/>
      <c r="J78" s="76"/>
      <c r="K78" s="76"/>
      <c r="L78" s="76"/>
      <c r="M78" s="67"/>
      <c r="N78" s="68"/>
      <c r="O78" s="69"/>
      <c r="P78" s="70"/>
    </row>
    <row r="79" spans="1:16" x14ac:dyDescent="0.3">
      <c r="A79" s="63"/>
      <c r="B79" s="63"/>
      <c r="C79" s="63"/>
      <c r="D79" s="63"/>
      <c r="G79" s="65"/>
      <c r="H79" s="66"/>
      <c r="I79" s="76"/>
      <c r="J79" s="76"/>
      <c r="K79" s="76"/>
      <c r="L79" s="76"/>
      <c r="M79" s="67"/>
      <c r="N79" s="68"/>
      <c r="O79" s="69"/>
      <c r="P79" s="70"/>
    </row>
    <row r="80" spans="1:16" x14ac:dyDescent="0.3">
      <c r="A80" s="63"/>
      <c r="B80" s="63"/>
      <c r="C80" s="63"/>
      <c r="D80" s="63"/>
      <c r="G80" s="65"/>
      <c r="H80" s="66"/>
      <c r="I80" s="76"/>
      <c r="J80" s="76"/>
      <c r="K80" s="76"/>
      <c r="L80" s="76"/>
      <c r="M80" s="67"/>
      <c r="N80" s="68"/>
      <c r="O80" s="69"/>
      <c r="P80" s="70"/>
    </row>
    <row r="81" spans="1:16" x14ac:dyDescent="0.3">
      <c r="A81" s="63"/>
      <c r="B81" s="63"/>
      <c r="C81" s="63"/>
      <c r="D81" s="63"/>
      <c r="G81" s="65"/>
      <c r="H81" s="66"/>
      <c r="I81" s="76"/>
      <c r="J81" s="76"/>
      <c r="K81" s="76"/>
      <c r="L81" s="76"/>
      <c r="M81" s="67"/>
      <c r="N81" s="68"/>
      <c r="O81" s="69"/>
      <c r="P81" s="70"/>
    </row>
    <row r="82" spans="1:16" x14ac:dyDescent="0.3">
      <c r="A82" s="63"/>
      <c r="B82" s="63"/>
      <c r="C82" s="63"/>
      <c r="D82" s="63"/>
      <c r="G82" s="65"/>
      <c r="H82" s="66"/>
      <c r="I82" s="76"/>
      <c r="J82" s="76"/>
      <c r="K82" s="76"/>
      <c r="L82" s="76"/>
      <c r="M82" s="67"/>
      <c r="N82" s="68"/>
      <c r="O82" s="69"/>
      <c r="P82" s="70"/>
    </row>
    <row r="83" spans="1:16" x14ac:dyDescent="0.3">
      <c r="A83" s="63"/>
      <c r="B83" s="63"/>
      <c r="C83" s="63"/>
      <c r="D83" s="63"/>
      <c r="G83" s="65"/>
      <c r="H83" s="66"/>
      <c r="I83" s="76"/>
      <c r="J83" s="76"/>
      <c r="K83" s="76"/>
      <c r="L83" s="76"/>
      <c r="M83" s="67"/>
      <c r="N83" s="68"/>
      <c r="O83" s="69"/>
      <c r="P83" s="70"/>
    </row>
    <row r="84" spans="1:16" x14ac:dyDescent="0.3">
      <c r="A84" s="63"/>
      <c r="B84" s="63"/>
      <c r="C84" s="63"/>
      <c r="D84" s="63"/>
      <c r="G84" s="65"/>
      <c r="H84" s="66"/>
      <c r="I84" s="76"/>
      <c r="J84" s="76"/>
      <c r="K84" s="76"/>
      <c r="L84" s="76"/>
      <c r="M84" s="67"/>
      <c r="N84" s="68"/>
      <c r="O84" s="69"/>
      <c r="P84" s="70"/>
    </row>
    <row r="85" spans="1:16" x14ac:dyDescent="0.3">
      <c r="A85" s="63"/>
      <c r="B85" s="63"/>
      <c r="C85" s="63"/>
      <c r="D85" s="63"/>
      <c r="G85" s="65"/>
      <c r="H85" s="66"/>
      <c r="I85" s="76"/>
      <c r="J85" s="76"/>
      <c r="K85" s="76"/>
      <c r="L85" s="76"/>
      <c r="M85" s="67"/>
      <c r="N85" s="68"/>
      <c r="O85" s="69"/>
      <c r="P85" s="70"/>
    </row>
    <row r="86" spans="1:16" x14ac:dyDescent="0.3">
      <c r="A86" s="63"/>
      <c r="B86" s="63"/>
      <c r="C86" s="63"/>
      <c r="D86" s="63"/>
      <c r="G86" s="65"/>
      <c r="H86" s="66"/>
      <c r="I86" s="76"/>
      <c r="J86" s="76"/>
      <c r="K86" s="76"/>
      <c r="L86" s="76"/>
      <c r="M86" s="67"/>
      <c r="N86" s="68"/>
      <c r="O86" s="69"/>
      <c r="P86" s="70"/>
    </row>
    <row r="87" spans="1:16" x14ac:dyDescent="0.3">
      <c r="A87" s="63"/>
      <c r="B87" s="63"/>
      <c r="C87" s="63"/>
      <c r="D87" s="63"/>
      <c r="G87" s="65"/>
      <c r="H87" s="66"/>
      <c r="I87" s="76"/>
      <c r="J87" s="76"/>
      <c r="K87" s="76"/>
      <c r="L87" s="76"/>
      <c r="M87" s="67"/>
      <c r="N87" s="68"/>
      <c r="O87" s="69"/>
      <c r="P87" s="70"/>
    </row>
    <row r="88" spans="1:16" x14ac:dyDescent="0.3">
      <c r="A88" s="63"/>
      <c r="B88" s="63"/>
      <c r="C88" s="63"/>
      <c r="D88" s="63"/>
      <c r="G88" s="65"/>
      <c r="H88" s="66"/>
      <c r="I88" s="76"/>
      <c r="J88" s="76"/>
      <c r="K88" s="76"/>
      <c r="L88" s="76"/>
      <c r="M88" s="67"/>
      <c r="N88" s="68"/>
      <c r="O88" s="69"/>
      <c r="P88" s="70"/>
    </row>
    <row r="89" spans="1:16" x14ac:dyDescent="0.3">
      <c r="A89" s="63"/>
      <c r="B89" s="63"/>
      <c r="C89" s="63"/>
      <c r="D89" s="63"/>
      <c r="G89" s="65"/>
      <c r="H89" s="66"/>
      <c r="I89" s="76"/>
      <c r="J89" s="76"/>
      <c r="K89" s="76"/>
      <c r="L89" s="76"/>
      <c r="M89" s="67"/>
      <c r="N89" s="68"/>
      <c r="O89" s="69"/>
      <c r="P89" s="70"/>
    </row>
    <row r="90" spans="1:16" x14ac:dyDescent="0.3">
      <c r="A90" s="63"/>
      <c r="B90" s="63"/>
      <c r="C90" s="63"/>
      <c r="D90" s="63"/>
      <c r="G90" s="65"/>
      <c r="H90" s="66"/>
      <c r="I90" s="76"/>
      <c r="J90" s="76"/>
      <c r="K90" s="76"/>
      <c r="L90" s="76"/>
      <c r="M90" s="67"/>
      <c r="N90" s="68"/>
      <c r="O90" s="69"/>
      <c r="P90" s="70"/>
    </row>
    <row r="91" spans="1:16" x14ac:dyDescent="0.3">
      <c r="A91" s="63"/>
      <c r="B91" s="63"/>
      <c r="C91" s="63"/>
      <c r="D91" s="63"/>
      <c r="G91" s="65"/>
      <c r="H91" s="66"/>
      <c r="I91" s="76"/>
      <c r="J91" s="76"/>
      <c r="K91" s="76"/>
      <c r="L91" s="76"/>
      <c r="M91" s="67"/>
      <c r="N91" s="68"/>
      <c r="O91" s="69"/>
      <c r="P91" s="70"/>
    </row>
    <row r="92" spans="1:16" x14ac:dyDescent="0.3">
      <c r="A92" s="63"/>
      <c r="B92" s="63"/>
      <c r="C92" s="63"/>
      <c r="D92" s="63"/>
      <c r="G92" s="65"/>
      <c r="H92" s="66"/>
      <c r="I92" s="76"/>
      <c r="J92" s="76"/>
      <c r="K92" s="76"/>
      <c r="L92" s="76"/>
      <c r="M92" s="67"/>
      <c r="N92" s="68"/>
      <c r="O92" s="69"/>
      <c r="P92" s="70"/>
    </row>
    <row r="93" spans="1:16" x14ac:dyDescent="0.3">
      <c r="A93" s="63"/>
      <c r="B93" s="63"/>
      <c r="C93" s="63"/>
      <c r="D93" s="63"/>
      <c r="G93" s="65"/>
      <c r="H93" s="66"/>
      <c r="I93" s="76"/>
      <c r="J93" s="76"/>
      <c r="K93" s="76"/>
      <c r="L93" s="76"/>
      <c r="M93" s="67"/>
      <c r="N93" s="68"/>
      <c r="O93" s="69"/>
      <c r="P93" s="70"/>
    </row>
    <row r="94" spans="1:16" x14ac:dyDescent="0.3">
      <c r="A94" s="63"/>
      <c r="B94" s="63"/>
      <c r="C94" s="63"/>
      <c r="D94" s="63"/>
      <c r="G94" s="65"/>
      <c r="H94" s="66"/>
      <c r="I94" s="76"/>
      <c r="J94" s="76"/>
      <c r="K94" s="76"/>
      <c r="L94" s="76"/>
      <c r="M94" s="67"/>
      <c r="N94" s="68"/>
      <c r="O94" s="69"/>
      <c r="P94" s="70"/>
    </row>
    <row r="95" spans="1:16" x14ac:dyDescent="0.3">
      <c r="A95" s="63"/>
      <c r="B95" s="63"/>
      <c r="C95" s="63"/>
      <c r="D95" s="63"/>
      <c r="G95" s="65"/>
      <c r="H95" s="66"/>
      <c r="I95" s="76"/>
      <c r="J95" s="76"/>
      <c r="K95" s="76"/>
      <c r="L95" s="76"/>
      <c r="M95" s="67"/>
      <c r="N95" s="68"/>
      <c r="O95" s="69"/>
      <c r="P95" s="70"/>
    </row>
    <row r="96" spans="1:16" x14ac:dyDescent="0.3">
      <c r="A96" s="63"/>
      <c r="B96" s="63"/>
      <c r="C96" s="63"/>
      <c r="D96" s="63"/>
      <c r="G96" s="65"/>
      <c r="H96" s="66"/>
      <c r="I96" s="76"/>
      <c r="J96" s="76"/>
      <c r="K96" s="76"/>
      <c r="L96" s="76"/>
      <c r="M96" s="67"/>
      <c r="N96" s="68"/>
      <c r="O96" s="69"/>
      <c r="P96" s="70"/>
    </row>
    <row r="97" spans="1:16" x14ac:dyDescent="0.3">
      <c r="A97" s="63"/>
      <c r="B97" s="63"/>
      <c r="C97" s="63"/>
      <c r="D97" s="63"/>
      <c r="G97" s="65"/>
      <c r="H97" s="66"/>
      <c r="I97" s="76"/>
      <c r="J97" s="76"/>
      <c r="K97" s="76"/>
      <c r="L97" s="76"/>
      <c r="M97" s="67"/>
      <c r="N97" s="68"/>
      <c r="O97" s="69"/>
      <c r="P97" s="70"/>
    </row>
    <row r="98" spans="1:16" x14ac:dyDescent="0.3">
      <c r="A98" s="63"/>
      <c r="B98" s="63"/>
      <c r="C98" s="63"/>
      <c r="D98" s="63"/>
      <c r="G98" s="65"/>
      <c r="H98" s="66"/>
      <c r="I98" s="76"/>
      <c r="J98" s="76"/>
      <c r="K98" s="76"/>
      <c r="L98" s="76"/>
      <c r="M98" s="67"/>
      <c r="N98" s="68"/>
      <c r="O98" s="69"/>
      <c r="P98" s="70"/>
    </row>
    <row r="99" spans="1:16" x14ac:dyDescent="0.3">
      <c r="A99" s="63"/>
      <c r="B99" s="63"/>
      <c r="C99" s="63"/>
      <c r="D99" s="63"/>
      <c r="G99" s="65"/>
      <c r="H99" s="66"/>
      <c r="I99" s="76"/>
      <c r="J99" s="76"/>
      <c r="K99" s="76"/>
      <c r="L99" s="76"/>
      <c r="M99" s="67"/>
      <c r="N99" s="68"/>
      <c r="O99" s="69"/>
      <c r="P99" s="70"/>
    </row>
    <row r="100" spans="1:16" x14ac:dyDescent="0.3">
      <c r="A100" s="63"/>
      <c r="B100" s="63"/>
      <c r="C100" s="63"/>
      <c r="D100" s="63"/>
      <c r="G100" s="65"/>
      <c r="H100" s="66"/>
      <c r="I100" s="76"/>
      <c r="J100" s="76"/>
      <c r="K100" s="76"/>
      <c r="L100" s="76"/>
      <c r="M100" s="67"/>
      <c r="N100" s="68"/>
      <c r="O100" s="69"/>
      <c r="P100" s="70"/>
    </row>
    <row r="101" spans="1:16" x14ac:dyDescent="0.3">
      <c r="A101" s="63"/>
      <c r="B101" s="63"/>
      <c r="C101" s="63"/>
      <c r="D101" s="63"/>
      <c r="G101" s="65"/>
      <c r="H101" s="66"/>
      <c r="I101" s="76"/>
      <c r="J101" s="76"/>
      <c r="K101" s="76"/>
      <c r="L101" s="76"/>
      <c r="M101" s="67"/>
      <c r="N101" s="68"/>
      <c r="O101" s="69"/>
      <c r="P101" s="70"/>
    </row>
    <row r="102" spans="1:16" x14ac:dyDescent="0.3">
      <c r="A102" s="63"/>
      <c r="B102" s="63"/>
      <c r="C102" s="63"/>
      <c r="D102" s="63"/>
      <c r="G102" s="65"/>
      <c r="H102" s="66"/>
      <c r="I102" s="76"/>
      <c r="J102" s="76"/>
      <c r="K102" s="76"/>
      <c r="L102" s="76"/>
      <c r="M102" s="67"/>
      <c r="N102" s="68"/>
      <c r="O102" s="69"/>
      <c r="P102" s="70"/>
    </row>
    <row r="103" spans="1:16" x14ac:dyDescent="0.3">
      <c r="A103" s="63"/>
      <c r="B103" s="63"/>
      <c r="C103" s="63"/>
      <c r="D103" s="63"/>
      <c r="G103" s="65"/>
      <c r="H103" s="66"/>
      <c r="I103" s="76"/>
      <c r="J103" s="76"/>
      <c r="K103" s="76"/>
      <c r="L103" s="76"/>
      <c r="M103" s="67"/>
      <c r="N103" s="68"/>
      <c r="O103" s="69"/>
      <c r="P103" s="70"/>
    </row>
    <row r="104" spans="1:16" x14ac:dyDescent="0.3">
      <c r="A104" s="63"/>
      <c r="B104" s="63"/>
      <c r="C104" s="63"/>
      <c r="D104" s="63"/>
      <c r="G104" s="65"/>
      <c r="H104" s="66"/>
      <c r="I104" s="76"/>
      <c r="J104" s="76"/>
      <c r="K104" s="76"/>
      <c r="L104" s="76"/>
      <c r="M104" s="67"/>
      <c r="N104" s="68"/>
      <c r="O104" s="69"/>
      <c r="P104" s="70"/>
    </row>
    <row r="105" spans="1:16" x14ac:dyDescent="0.3">
      <c r="A105" s="63"/>
      <c r="B105" s="63"/>
      <c r="C105" s="63"/>
      <c r="D105" s="63"/>
      <c r="G105" s="65"/>
      <c r="H105" s="66"/>
      <c r="I105" s="76"/>
      <c r="J105" s="76"/>
      <c r="K105" s="76"/>
      <c r="L105" s="76"/>
      <c r="M105" s="67"/>
      <c r="N105" s="68"/>
      <c r="O105" s="69"/>
      <c r="P105" s="70"/>
    </row>
    <row r="106" spans="1:16" x14ac:dyDescent="0.3">
      <c r="A106" s="63"/>
      <c r="B106" s="63"/>
      <c r="C106" s="63"/>
      <c r="D106" s="63"/>
      <c r="G106" s="65"/>
      <c r="H106" s="66"/>
      <c r="I106" s="76"/>
      <c r="J106" s="76"/>
      <c r="K106" s="76"/>
      <c r="L106" s="76"/>
      <c r="M106" s="67"/>
      <c r="N106" s="68"/>
      <c r="O106" s="69"/>
      <c r="P106" s="70"/>
    </row>
    <row r="107" spans="1:16" x14ac:dyDescent="0.3">
      <c r="A107" s="63"/>
      <c r="B107" s="63"/>
      <c r="C107" s="63"/>
      <c r="D107" s="63"/>
      <c r="G107" s="65"/>
      <c r="H107" s="66"/>
      <c r="I107" s="76"/>
      <c r="J107" s="76"/>
      <c r="K107" s="76"/>
      <c r="L107" s="76"/>
      <c r="M107" s="67"/>
      <c r="N107" s="68"/>
      <c r="O107" s="69"/>
      <c r="P107" s="70"/>
    </row>
    <row r="108" spans="1:16" x14ac:dyDescent="0.3">
      <c r="A108" s="63"/>
      <c r="B108" s="63"/>
      <c r="C108" s="63"/>
      <c r="D108" s="63"/>
      <c r="G108" s="65"/>
      <c r="H108" s="66"/>
      <c r="I108" s="76"/>
      <c r="J108" s="76"/>
      <c r="K108" s="76"/>
      <c r="L108" s="76"/>
      <c r="M108" s="67"/>
      <c r="N108" s="68"/>
      <c r="O108" s="69"/>
      <c r="P108" s="70"/>
    </row>
    <row r="109" spans="1:16" x14ac:dyDescent="0.3">
      <c r="A109" s="63"/>
      <c r="B109" s="63"/>
      <c r="C109" s="63"/>
      <c r="D109" s="63"/>
      <c r="G109" s="65"/>
      <c r="H109" s="66"/>
      <c r="I109" s="76"/>
      <c r="J109" s="76"/>
      <c r="K109" s="76"/>
      <c r="L109" s="76"/>
      <c r="M109" s="67"/>
      <c r="N109" s="68"/>
      <c r="O109" s="69"/>
      <c r="P109" s="70"/>
    </row>
    <row r="110" spans="1:16" x14ac:dyDescent="0.3">
      <c r="A110" s="63"/>
      <c r="B110" s="63"/>
      <c r="C110" s="63"/>
      <c r="D110" s="63"/>
      <c r="G110" s="65"/>
      <c r="H110" s="66"/>
      <c r="I110" s="76"/>
      <c r="J110" s="76"/>
      <c r="K110" s="76"/>
      <c r="L110" s="76"/>
      <c r="M110" s="67"/>
      <c r="N110" s="68"/>
      <c r="O110" s="69"/>
      <c r="P110" s="70"/>
    </row>
    <row r="111" spans="1:16" x14ac:dyDescent="0.3">
      <c r="A111" s="63"/>
      <c r="B111" s="63"/>
      <c r="C111" s="63"/>
      <c r="D111" s="63"/>
      <c r="G111" s="65"/>
      <c r="H111" s="66"/>
      <c r="I111" s="76"/>
      <c r="J111" s="76"/>
      <c r="K111" s="76"/>
      <c r="L111" s="76"/>
      <c r="M111" s="67"/>
      <c r="N111" s="68"/>
      <c r="O111" s="69"/>
      <c r="P111" s="70"/>
    </row>
    <row r="112" spans="1:16" x14ac:dyDescent="0.3">
      <c r="A112" s="63"/>
      <c r="B112" s="63"/>
      <c r="C112" s="63"/>
      <c r="D112" s="63"/>
      <c r="G112" s="65"/>
      <c r="H112" s="66"/>
      <c r="I112" s="76"/>
      <c r="J112" s="76"/>
      <c r="K112" s="76"/>
      <c r="L112" s="76"/>
      <c r="M112" s="67"/>
      <c r="N112" s="68"/>
      <c r="O112" s="69"/>
      <c r="P112" s="70"/>
    </row>
    <row r="113" spans="1:16" x14ac:dyDescent="0.3">
      <c r="A113" s="63"/>
      <c r="B113" s="63"/>
      <c r="C113" s="63"/>
      <c r="D113" s="63"/>
      <c r="G113" s="65"/>
      <c r="H113" s="66"/>
      <c r="I113" s="76"/>
      <c r="J113" s="76"/>
      <c r="K113" s="76"/>
      <c r="L113" s="76"/>
      <c r="M113" s="67"/>
      <c r="N113" s="68"/>
      <c r="O113" s="69"/>
      <c r="P113" s="70"/>
    </row>
    <row r="114" spans="1:16" x14ac:dyDescent="0.3">
      <c r="A114" s="63"/>
      <c r="B114" s="63"/>
      <c r="C114" s="63"/>
      <c r="D114" s="63"/>
      <c r="G114" s="65"/>
      <c r="H114" s="66"/>
      <c r="I114" s="76"/>
      <c r="J114" s="76"/>
      <c r="K114" s="76"/>
      <c r="L114" s="76"/>
      <c r="M114" s="67"/>
      <c r="N114" s="68"/>
      <c r="O114" s="69"/>
      <c r="P114" s="70"/>
    </row>
    <row r="115" spans="1:16" x14ac:dyDescent="0.3">
      <c r="A115" s="63"/>
      <c r="B115" s="63"/>
      <c r="C115" s="63"/>
      <c r="D115" s="63"/>
      <c r="G115" s="65"/>
      <c r="H115" s="66"/>
      <c r="I115" s="76"/>
      <c r="J115" s="76"/>
      <c r="K115" s="76"/>
      <c r="L115" s="76"/>
      <c r="M115" s="67"/>
      <c r="N115" s="68"/>
      <c r="O115" s="69"/>
      <c r="P115" s="70"/>
    </row>
    <row r="116" spans="1:16" x14ac:dyDescent="0.3">
      <c r="A116" s="63"/>
      <c r="B116" s="63"/>
      <c r="C116" s="63"/>
      <c r="D116" s="63"/>
      <c r="G116" s="65"/>
      <c r="H116" s="66"/>
      <c r="I116" s="76"/>
      <c r="J116" s="76"/>
      <c r="K116" s="76"/>
      <c r="L116" s="76"/>
      <c r="M116" s="67"/>
      <c r="N116" s="68"/>
      <c r="O116" s="69"/>
      <c r="P116" s="70"/>
    </row>
    <row r="117" spans="1:16" x14ac:dyDescent="0.3">
      <c r="A117" s="63"/>
      <c r="B117" s="63"/>
      <c r="C117" s="63"/>
      <c r="D117" s="63"/>
      <c r="G117" s="65"/>
      <c r="H117" s="66"/>
      <c r="I117" s="76"/>
      <c r="J117" s="76"/>
      <c r="K117" s="76"/>
      <c r="L117" s="76"/>
      <c r="M117" s="67"/>
      <c r="N117" s="68"/>
      <c r="O117" s="69"/>
      <c r="P117" s="70"/>
    </row>
    <row r="118" spans="1:16" x14ac:dyDescent="0.3">
      <c r="A118" s="63"/>
      <c r="B118" s="63"/>
      <c r="C118" s="63"/>
      <c r="D118" s="63"/>
      <c r="G118" s="65"/>
      <c r="H118" s="66"/>
      <c r="I118" s="76"/>
      <c r="J118" s="76"/>
      <c r="K118" s="76"/>
      <c r="L118" s="76"/>
      <c r="M118" s="67"/>
      <c r="N118" s="68"/>
      <c r="O118" s="69"/>
      <c r="P118" s="70"/>
    </row>
    <row r="119" spans="1:16" x14ac:dyDescent="0.3">
      <c r="A119" s="63"/>
      <c r="B119" s="63"/>
      <c r="C119" s="63"/>
      <c r="D119" s="63"/>
      <c r="G119" s="65"/>
      <c r="H119" s="66"/>
      <c r="I119" s="76"/>
      <c r="J119" s="76"/>
      <c r="K119" s="76"/>
      <c r="L119" s="76"/>
      <c r="M119" s="67"/>
      <c r="N119" s="68"/>
      <c r="O119" s="69"/>
      <c r="P119" s="70"/>
    </row>
    <row r="120" spans="1:16" x14ac:dyDescent="0.3">
      <c r="A120" s="63"/>
      <c r="B120" s="63"/>
      <c r="C120" s="63"/>
      <c r="D120" s="63"/>
      <c r="G120" s="65"/>
      <c r="H120" s="66"/>
      <c r="I120" s="76"/>
      <c r="J120" s="76"/>
      <c r="K120" s="76"/>
      <c r="L120" s="76"/>
      <c r="M120" s="67"/>
      <c r="N120" s="68"/>
      <c r="O120" s="69"/>
      <c r="P120" s="70"/>
    </row>
    <row r="121" spans="1:16" x14ac:dyDescent="0.3">
      <c r="A121" s="63"/>
      <c r="B121" s="63"/>
      <c r="C121" s="63"/>
      <c r="D121" s="63"/>
      <c r="G121" s="65"/>
      <c r="H121" s="66"/>
      <c r="I121" s="76"/>
      <c r="J121" s="76"/>
      <c r="K121" s="76"/>
      <c r="L121" s="76"/>
      <c r="M121" s="67"/>
      <c r="N121" s="68"/>
      <c r="O121" s="69"/>
      <c r="P121" s="70"/>
    </row>
    <row r="122" spans="1:16" x14ac:dyDescent="0.3">
      <c r="A122" s="63"/>
      <c r="B122" s="63"/>
      <c r="C122" s="63"/>
      <c r="D122" s="63"/>
      <c r="G122" s="65"/>
      <c r="H122" s="66"/>
      <c r="I122" s="76"/>
      <c r="J122" s="76"/>
      <c r="K122" s="76"/>
      <c r="L122" s="76"/>
      <c r="M122" s="67"/>
      <c r="N122" s="68"/>
      <c r="O122" s="69"/>
      <c r="P122" s="70"/>
    </row>
    <row r="123" spans="1:16" x14ac:dyDescent="0.3">
      <c r="A123" s="63"/>
      <c r="B123" s="63"/>
      <c r="C123" s="63"/>
      <c r="D123" s="63"/>
      <c r="G123" s="65"/>
      <c r="H123" s="66"/>
      <c r="I123" s="76"/>
      <c r="J123" s="76"/>
      <c r="K123" s="76"/>
      <c r="L123" s="76"/>
      <c r="M123" s="67"/>
      <c r="N123" s="68"/>
      <c r="O123" s="69"/>
      <c r="P123" s="70"/>
    </row>
    <row r="124" spans="1:16" x14ac:dyDescent="0.3">
      <c r="A124" s="63"/>
      <c r="B124" s="63"/>
      <c r="C124" s="63"/>
      <c r="D124" s="63"/>
      <c r="G124" s="65"/>
      <c r="H124" s="66"/>
      <c r="I124" s="76"/>
      <c r="J124" s="76"/>
      <c r="K124" s="76"/>
      <c r="L124" s="76"/>
      <c r="M124" s="67"/>
      <c r="N124" s="68"/>
      <c r="O124" s="69"/>
      <c r="P124" s="70"/>
    </row>
    <row r="125" spans="1:16" x14ac:dyDescent="0.3">
      <c r="A125" s="63"/>
      <c r="B125" s="63"/>
      <c r="C125" s="63"/>
      <c r="D125" s="63"/>
      <c r="G125" s="65"/>
      <c r="H125" s="66"/>
      <c r="I125" s="76"/>
      <c r="J125" s="76"/>
      <c r="K125" s="76"/>
      <c r="L125" s="76"/>
      <c r="M125" s="67"/>
      <c r="N125" s="68"/>
      <c r="O125" s="69"/>
      <c r="P125" s="70"/>
    </row>
    <row r="126" spans="1:16" x14ac:dyDescent="0.3">
      <c r="A126" s="63"/>
      <c r="B126" s="63"/>
      <c r="C126" s="63"/>
      <c r="D126" s="63"/>
      <c r="G126" s="65"/>
      <c r="H126" s="66"/>
      <c r="I126" s="76"/>
      <c r="J126" s="76"/>
      <c r="K126" s="76"/>
      <c r="L126" s="76"/>
      <c r="M126" s="67"/>
      <c r="N126" s="68"/>
      <c r="O126" s="69"/>
      <c r="P126" s="70"/>
    </row>
    <row r="127" spans="1:16" x14ac:dyDescent="0.3">
      <c r="A127" s="63"/>
      <c r="B127" s="63"/>
      <c r="C127" s="63"/>
      <c r="D127" s="63"/>
      <c r="G127" s="65"/>
      <c r="H127" s="66"/>
      <c r="I127" s="76"/>
      <c r="J127" s="76"/>
      <c r="K127" s="76"/>
      <c r="L127" s="76"/>
      <c r="M127" s="67"/>
      <c r="N127" s="68"/>
      <c r="O127" s="69"/>
      <c r="P127" s="70"/>
    </row>
    <row r="128" spans="1:16" x14ac:dyDescent="0.3">
      <c r="A128" s="63"/>
      <c r="B128" s="63"/>
      <c r="C128" s="63"/>
      <c r="D128" s="63"/>
      <c r="G128" s="65"/>
      <c r="H128" s="66"/>
      <c r="I128" s="76"/>
      <c r="J128" s="76"/>
      <c r="K128" s="76"/>
      <c r="L128" s="76"/>
      <c r="M128" s="67"/>
      <c r="N128" s="68"/>
      <c r="O128" s="69"/>
      <c r="P128" s="70"/>
    </row>
    <row r="129" spans="1:16" x14ac:dyDescent="0.3">
      <c r="A129" s="63"/>
      <c r="B129" s="63"/>
      <c r="C129" s="63"/>
      <c r="D129" s="63"/>
      <c r="G129" s="65"/>
      <c r="H129" s="66"/>
      <c r="I129" s="76"/>
      <c r="J129" s="76"/>
      <c r="K129" s="76"/>
      <c r="L129" s="76"/>
      <c r="M129" s="67"/>
      <c r="N129" s="68"/>
      <c r="O129" s="69"/>
      <c r="P129" s="70"/>
    </row>
    <row r="130" spans="1:16" x14ac:dyDescent="0.3">
      <c r="A130" s="63"/>
      <c r="B130" s="63"/>
      <c r="C130" s="63"/>
      <c r="D130" s="63"/>
      <c r="G130" s="65"/>
      <c r="H130" s="66"/>
      <c r="I130" s="76"/>
      <c r="J130" s="76"/>
      <c r="K130" s="76"/>
      <c r="L130" s="76"/>
      <c r="M130" s="67"/>
      <c r="N130" s="68"/>
      <c r="O130" s="69"/>
      <c r="P130" s="70"/>
    </row>
    <row r="131" spans="1:16" x14ac:dyDescent="0.3">
      <c r="A131" s="63"/>
      <c r="B131" s="63"/>
      <c r="C131" s="63"/>
      <c r="D131" s="63"/>
      <c r="G131" s="65"/>
      <c r="H131" s="66"/>
      <c r="I131" s="76"/>
      <c r="J131" s="76"/>
      <c r="K131" s="76"/>
      <c r="L131" s="76"/>
      <c r="M131" s="67"/>
      <c r="N131" s="68"/>
      <c r="O131" s="69"/>
      <c r="P131" s="70"/>
    </row>
    <row r="132" spans="1:16" x14ac:dyDescent="0.3">
      <c r="A132" s="63"/>
      <c r="B132" s="63"/>
      <c r="C132" s="63"/>
      <c r="D132" s="63"/>
      <c r="G132" s="65"/>
      <c r="H132" s="66"/>
      <c r="I132" s="76"/>
      <c r="J132" s="76"/>
      <c r="K132" s="76"/>
      <c r="L132" s="76"/>
      <c r="M132" s="67"/>
      <c r="N132" s="68"/>
      <c r="O132" s="69"/>
      <c r="P132" s="70"/>
    </row>
    <row r="133" spans="1:16" x14ac:dyDescent="0.3">
      <c r="A133" s="63"/>
      <c r="B133" s="63"/>
      <c r="C133" s="63"/>
      <c r="D133" s="63"/>
      <c r="G133" s="65"/>
      <c r="H133" s="66"/>
      <c r="I133" s="76"/>
      <c r="J133" s="76"/>
      <c r="K133" s="76"/>
      <c r="L133" s="76"/>
      <c r="M133" s="67"/>
      <c r="N133" s="68"/>
      <c r="O133" s="69"/>
      <c r="P133" s="70"/>
    </row>
    <row r="134" spans="1:16" x14ac:dyDescent="0.3">
      <c r="A134" s="63"/>
      <c r="B134" s="63"/>
      <c r="C134" s="63"/>
      <c r="D134" s="63"/>
      <c r="G134" s="65"/>
      <c r="H134" s="66"/>
      <c r="I134" s="76"/>
      <c r="J134" s="76"/>
      <c r="K134" s="76"/>
      <c r="L134" s="76"/>
      <c r="M134" s="67"/>
      <c r="N134" s="68"/>
      <c r="O134" s="69"/>
      <c r="P134" s="70"/>
    </row>
    <row r="135" spans="1:16" x14ac:dyDescent="0.3">
      <c r="A135" s="63"/>
      <c r="B135" s="63"/>
      <c r="C135" s="63"/>
      <c r="D135" s="63"/>
      <c r="G135" s="65"/>
      <c r="H135" s="66"/>
      <c r="I135" s="76"/>
      <c r="J135" s="76"/>
      <c r="K135" s="76"/>
      <c r="L135" s="76"/>
      <c r="M135" s="67"/>
      <c r="N135" s="68"/>
      <c r="O135" s="69"/>
      <c r="P135" s="70"/>
    </row>
    <row r="136" spans="1:16" x14ac:dyDescent="0.3">
      <c r="A136" s="63"/>
      <c r="B136" s="63"/>
      <c r="C136" s="63"/>
      <c r="D136" s="63"/>
      <c r="G136" s="65"/>
      <c r="H136" s="66"/>
      <c r="I136" s="76"/>
      <c r="J136" s="76"/>
      <c r="K136" s="76"/>
      <c r="L136" s="76"/>
      <c r="M136" s="67"/>
      <c r="N136" s="68"/>
      <c r="O136" s="69"/>
      <c r="P136" s="70"/>
    </row>
    <row r="137" spans="1:16" x14ac:dyDescent="0.3">
      <c r="A137" s="63"/>
      <c r="B137" s="63"/>
      <c r="C137" s="63"/>
      <c r="D137" s="63"/>
      <c r="G137" s="65"/>
      <c r="H137" s="66"/>
      <c r="I137" s="76"/>
      <c r="J137" s="76"/>
      <c r="K137" s="76"/>
      <c r="L137" s="76"/>
      <c r="M137" s="67"/>
      <c r="N137" s="68"/>
      <c r="O137" s="69"/>
      <c r="P137" s="70"/>
    </row>
    <row r="138" spans="1:16" x14ac:dyDescent="0.3">
      <c r="A138" s="63"/>
      <c r="B138" s="63"/>
      <c r="C138" s="63"/>
      <c r="D138" s="63"/>
      <c r="G138" s="65"/>
      <c r="H138" s="66"/>
      <c r="I138" s="76"/>
      <c r="J138" s="76"/>
      <c r="K138" s="76"/>
      <c r="L138" s="76"/>
      <c r="M138" s="67"/>
      <c r="N138" s="68"/>
      <c r="O138" s="69"/>
      <c r="P138" s="70"/>
    </row>
    <row r="139" spans="1:16" x14ac:dyDescent="0.3">
      <c r="A139" s="63"/>
      <c r="B139" s="63"/>
      <c r="C139" s="63"/>
      <c r="D139" s="63"/>
      <c r="G139" s="65"/>
      <c r="H139" s="66"/>
      <c r="I139" s="76"/>
      <c r="J139" s="76"/>
      <c r="K139" s="76"/>
      <c r="L139" s="76"/>
      <c r="M139" s="67"/>
      <c r="N139" s="68"/>
      <c r="O139" s="69"/>
      <c r="P139" s="70"/>
    </row>
  </sheetData>
  <mergeCells count="1">
    <mergeCell ref="F1:H1"/>
  </mergeCells>
  <pageMargins left="0.7" right="0.7" top="0.75" bottom="0.75" header="0.3" footer="0.3"/>
  <pageSetup paperSize="8" orientation="landscape" r:id="rId1"/>
  <ignoredErrors>
    <ignoredError sqref="M11:M76" 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D973470-E2F2-4330-8F38-DA949A53B2F5}">
          <x14:formula1>
            <xm:f>ipc!$B$9:$B$20</xm:f>
          </x14:formula1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ipc</vt:lpstr>
      <vt:lpstr>tc</vt:lpstr>
      <vt:lpstr>smlv</vt:lpstr>
      <vt:lpstr>Indemnizacion_sustitutiva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1.3.1. Total nacional</dc:title>
  <dc:creator>Johana Manga</dc:creator>
  <cp:lastModifiedBy>FREDDY ROA MONSALVO</cp:lastModifiedBy>
  <dcterms:created xsi:type="dcterms:W3CDTF">2015-10-18T16:12:33Z</dcterms:created>
  <dcterms:modified xsi:type="dcterms:W3CDTF">2026-05-15T22:51:22Z</dcterms:modified>
</cp:coreProperties>
</file>